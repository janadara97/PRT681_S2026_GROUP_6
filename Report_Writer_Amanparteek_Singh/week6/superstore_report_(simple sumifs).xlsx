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3DE91057-CE1D-4CE8-96C6-7840218010AB}" xr6:coauthVersionLast="47" xr6:coauthVersionMax="47" xr10:uidLastSave="{00000000-0000-0000-0000-000000000000}"/>
  <bookViews>
    <workbookView xWindow="-120" yWindow="-120" windowWidth="20730" windowHeight="11040" tabRatio="500" firstSheet="1" activeTab="3" xr2:uid="{00000000-000D-0000-FFFF-FFFF00000000}"/>
  </bookViews>
  <sheets>
    <sheet name="Raw Data" sheetId="1" r:id="rId1"/>
    <sheet name="Q1 - Sales by Region" sheetId="2" r:id="rId2"/>
    <sheet name="Q2 - Revenue by Category" sheetId="3" r:id="rId3"/>
    <sheet name="Q3 - Top Customers" sheetId="4" r:id="rId4"/>
    <sheet name="Q4 - Monthly Trend" sheetId="5" r:id="rId5"/>
    <sheet name="Q5 - Profit Margin" sheetId="6" r:id="rId6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6" l="1"/>
  <c r="D16" i="6" s="1"/>
  <c r="B16" i="6"/>
  <c r="C15" i="6"/>
  <c r="B15" i="6"/>
  <c r="D15" i="6" s="1"/>
  <c r="C14" i="6"/>
  <c r="D14" i="6" s="1"/>
  <c r="B14" i="6"/>
  <c r="C13" i="6"/>
  <c r="D13" i="6" s="1"/>
  <c r="B13" i="6"/>
  <c r="C12" i="6"/>
  <c r="D12" i="6" s="1"/>
  <c r="B12" i="6"/>
  <c r="D11" i="6"/>
  <c r="C11" i="6"/>
  <c r="B11" i="6"/>
  <c r="C10" i="6"/>
  <c r="D10" i="6" s="1"/>
  <c r="B10" i="6"/>
  <c r="C9" i="6"/>
  <c r="D9" i="6" s="1"/>
  <c r="B9" i="6"/>
  <c r="C8" i="6"/>
  <c r="D8" i="6" s="1"/>
  <c r="B8" i="6"/>
  <c r="D7" i="6"/>
  <c r="C7" i="6"/>
  <c r="B7" i="6"/>
  <c r="C6" i="6"/>
  <c r="D6" i="6" s="1"/>
  <c r="B6" i="6"/>
  <c r="C5" i="6"/>
  <c r="D5" i="6" s="1"/>
  <c r="B5" i="6"/>
  <c r="C4" i="6"/>
  <c r="D4" i="6" s="1"/>
  <c r="B4" i="6"/>
  <c r="B13" i="4"/>
  <c r="B12" i="4"/>
  <c r="B11" i="4"/>
  <c r="B10" i="4"/>
  <c r="B9" i="4"/>
  <c r="B8" i="4"/>
  <c r="B7" i="4"/>
  <c r="B6" i="4"/>
  <c r="B5" i="4"/>
  <c r="B4" i="4"/>
  <c r="B6" i="3"/>
  <c r="B5" i="3"/>
  <c r="B4" i="3"/>
  <c r="C7" i="2"/>
  <c r="B7" i="2"/>
  <c r="C6" i="2"/>
  <c r="B6" i="2"/>
  <c r="C5" i="2"/>
  <c r="B5" i="2"/>
  <c r="C4" i="2"/>
  <c r="B4" i="2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B26" i="5" s="1"/>
  <c r="B7" i="5" l="1"/>
  <c r="B11" i="5"/>
  <c r="B15" i="5"/>
  <c r="B19" i="5"/>
  <c r="B23" i="5"/>
  <c r="B27" i="5"/>
  <c r="B4" i="5"/>
  <c r="B8" i="5"/>
  <c r="B12" i="5"/>
  <c r="B16" i="5"/>
  <c r="B20" i="5"/>
  <c r="B24" i="5"/>
  <c r="B5" i="5"/>
  <c r="B9" i="5"/>
  <c r="B13" i="5"/>
  <c r="B17" i="5"/>
  <c r="B21" i="5"/>
  <c r="B25" i="5"/>
  <c r="B6" i="5"/>
  <c r="B10" i="5"/>
  <c r="B14" i="5"/>
  <c r="B18" i="5"/>
  <c r="B22" i="5"/>
</calcChain>
</file>

<file path=xl/sharedStrings.xml><?xml version="1.0" encoding="utf-8"?>
<sst xmlns="http://schemas.openxmlformats.org/spreadsheetml/2006/main" count="4887" uniqueCount="819">
  <si>
    <t>Order ID</t>
  </si>
  <si>
    <t>Order Date</t>
  </si>
  <si>
    <t>Ship Date</t>
  </si>
  <si>
    <t>Customer Name</t>
  </si>
  <si>
    <t>Segment</t>
  </si>
  <si>
    <t>Region</t>
  </si>
  <si>
    <t>State</t>
  </si>
  <si>
    <t>City</t>
  </si>
  <si>
    <t>Category</t>
  </si>
  <si>
    <t>Sub-Category</t>
  </si>
  <si>
    <t>Sales</t>
  </si>
  <si>
    <t>Quantity</t>
  </si>
  <si>
    <t>Discount</t>
  </si>
  <si>
    <t>Profit</t>
  </si>
  <si>
    <t>Order Month</t>
  </si>
  <si>
    <t>US-2024-1001</t>
  </si>
  <si>
    <t>Susan Johnson</t>
  </si>
  <si>
    <t>Consumer</t>
  </si>
  <si>
    <t>East</t>
  </si>
  <si>
    <t>New York</t>
  </si>
  <si>
    <t>New York City</t>
  </si>
  <si>
    <t>Technology</t>
  </si>
  <si>
    <t>Phones</t>
  </si>
  <si>
    <t>US-2025-1002</t>
  </si>
  <si>
    <t>Robert Miller</t>
  </si>
  <si>
    <t>Corporate</t>
  </si>
  <si>
    <t>West</t>
  </si>
  <si>
    <t>Colorado</t>
  </si>
  <si>
    <t>Denver</t>
  </si>
  <si>
    <t>Furniture</t>
  </si>
  <si>
    <t>Furnishings</t>
  </si>
  <si>
    <t>US-2024-1003</t>
  </si>
  <si>
    <t>John Johnson</t>
  </si>
  <si>
    <t>South</t>
  </si>
  <si>
    <t>Florida</t>
  </si>
  <si>
    <t>Miami</t>
  </si>
  <si>
    <t>US-2024-1004</t>
  </si>
  <si>
    <t>Susan Davis</t>
  </si>
  <si>
    <t>Georgia</t>
  </si>
  <si>
    <t>Atlanta</t>
  </si>
  <si>
    <t>Office Supplies</t>
  </si>
  <si>
    <t>Paper</t>
  </si>
  <si>
    <t>US-2024-1005</t>
  </si>
  <si>
    <t>Margaret Martin</t>
  </si>
  <si>
    <t>US-2025-1006</t>
  </si>
  <si>
    <t>Anthony Rodriguez</t>
  </si>
  <si>
    <t>Pennsylvania</t>
  </si>
  <si>
    <t>Philadelphia</t>
  </si>
  <si>
    <t>Binders</t>
  </si>
  <si>
    <t>US-2024-1007</t>
  </si>
  <si>
    <t>Betty Hernandez</t>
  </si>
  <si>
    <t>California</t>
  </si>
  <si>
    <t>Los Angeles</t>
  </si>
  <si>
    <t>US-2025-1008</t>
  </si>
  <si>
    <t>Robert Brown</t>
  </si>
  <si>
    <t>Chairs</t>
  </si>
  <si>
    <t>US-2025-1009</t>
  </si>
  <si>
    <t>Thomas Brown</t>
  </si>
  <si>
    <t>Massachusetts</t>
  </si>
  <si>
    <t>Boston</t>
  </si>
  <si>
    <t>Accessories</t>
  </si>
  <si>
    <t>US-2025-1010</t>
  </si>
  <si>
    <t>Lisa Jackson</t>
  </si>
  <si>
    <t>Central</t>
  </si>
  <si>
    <t>Michigan</t>
  </si>
  <si>
    <t>Detroit</t>
  </si>
  <si>
    <t>US-2024-1011</t>
  </si>
  <si>
    <t>Texas</t>
  </si>
  <si>
    <t>Houston</t>
  </si>
  <si>
    <t>US-2024-1012</t>
  </si>
  <si>
    <t>John Williams</t>
  </si>
  <si>
    <t>Virginia</t>
  </si>
  <si>
    <t>Richmond</t>
  </si>
  <si>
    <t>US-2024-1013</t>
  </si>
  <si>
    <t>Lisa Thomas</t>
  </si>
  <si>
    <t>Oregon</t>
  </si>
  <si>
    <t>Portland</t>
  </si>
  <si>
    <t>Bookcases</t>
  </si>
  <si>
    <t>US-2025-1014</t>
  </si>
  <si>
    <t>Linda Davis</t>
  </si>
  <si>
    <t>Home Office</t>
  </si>
  <si>
    <t>New Jersey</t>
  </si>
  <si>
    <t>Newark</t>
  </si>
  <si>
    <t>US-2024-1015</t>
  </si>
  <si>
    <t>Karen Anderson</t>
  </si>
  <si>
    <t>US-2024-1016</t>
  </si>
  <si>
    <t>Paul Martinez</t>
  </si>
  <si>
    <t>Tables</t>
  </si>
  <si>
    <t>US-2024-1017</t>
  </si>
  <si>
    <t>Lisa Rodriguez</t>
  </si>
  <si>
    <t>Washington</t>
  </si>
  <si>
    <t>Seattle</t>
  </si>
  <si>
    <t>US-2025-1018</t>
  </si>
  <si>
    <t>Charles Davis</t>
  </si>
  <si>
    <t>US-2024-1019</t>
  </si>
  <si>
    <t>Patricia Lopez</t>
  </si>
  <si>
    <t>Arizona</t>
  </si>
  <si>
    <t>Phoenix</t>
  </si>
  <si>
    <t>Storage</t>
  </si>
  <si>
    <t>US-2025-1020</t>
  </si>
  <si>
    <t>David Smith</t>
  </si>
  <si>
    <t>US-2025-1021</t>
  </si>
  <si>
    <t>Sandra Moore</t>
  </si>
  <si>
    <t>Copiers</t>
  </si>
  <si>
    <t>US-2025-1022</t>
  </si>
  <si>
    <t>Margaret Brown</t>
  </si>
  <si>
    <t>Minnesota</t>
  </si>
  <si>
    <t>Minneapolis</t>
  </si>
  <si>
    <t>US-2024-1023</t>
  </si>
  <si>
    <t>Art</t>
  </si>
  <si>
    <t>US-2025-1024</t>
  </si>
  <si>
    <t>Linda Jackson</t>
  </si>
  <si>
    <t>Ohio</t>
  </si>
  <si>
    <t>Columbus</t>
  </si>
  <si>
    <t>US-2025-1025</t>
  </si>
  <si>
    <t>Sarah Smith</t>
  </si>
  <si>
    <t>US-2024-1026</t>
  </si>
  <si>
    <t>Robert Rodriguez</t>
  </si>
  <si>
    <t>US-2025-1027</t>
  </si>
  <si>
    <t>US-2024-1028</t>
  </si>
  <si>
    <t>Karen Rodriguez</t>
  </si>
  <si>
    <t>US-2025-1029</t>
  </si>
  <si>
    <t>Patricia Williams</t>
  </si>
  <si>
    <t>Machines</t>
  </si>
  <si>
    <t>US-2024-1030</t>
  </si>
  <si>
    <t>Robert Lopez</t>
  </si>
  <si>
    <t>US-2025-1031</t>
  </si>
  <si>
    <t>Patricia Martinez</t>
  </si>
  <si>
    <t>US-2025-1032</t>
  </si>
  <si>
    <t>US-2025-1033</t>
  </si>
  <si>
    <t>Mary Davis</t>
  </si>
  <si>
    <t>Tennessee</t>
  </si>
  <si>
    <t>Nashville</t>
  </si>
  <si>
    <t>US-2025-1034</t>
  </si>
  <si>
    <t>Robert Thomas</t>
  </si>
  <si>
    <t>US-2025-1035</t>
  </si>
  <si>
    <t>Thomas Thomas</t>
  </si>
  <si>
    <t>US-2025-1036</t>
  </si>
  <si>
    <t>Anthony Garcia</t>
  </si>
  <si>
    <t>US-2025-1037</t>
  </si>
  <si>
    <t>Michael Thomas</t>
  </si>
  <si>
    <t>North Carolina</t>
  </si>
  <si>
    <t>Charlotte</t>
  </si>
  <si>
    <t>US-2025-1038</t>
  </si>
  <si>
    <t>Barbara Miller</t>
  </si>
  <si>
    <t>US-2024-1039</t>
  </si>
  <si>
    <t>Richard Anderson</t>
  </si>
  <si>
    <t>US-2025-1040</t>
  </si>
  <si>
    <t>Anthony Hernandez</t>
  </si>
  <si>
    <t>Illinois</t>
  </si>
  <si>
    <t>Chicago</t>
  </si>
  <si>
    <t>US-2024-1041</t>
  </si>
  <si>
    <t>Richard Gonzalez</t>
  </si>
  <si>
    <t>US-2025-1042</t>
  </si>
  <si>
    <t>US-2025-1043</t>
  </si>
  <si>
    <t>Anthony Miller</t>
  </si>
  <si>
    <t>US-2024-1044</t>
  </si>
  <si>
    <t>US-2024-1045</t>
  </si>
  <si>
    <t>Paul Hernandez</t>
  </si>
  <si>
    <t>US-2024-1046</t>
  </si>
  <si>
    <t>Matthew Williams</t>
  </si>
  <si>
    <t>US-2024-1047</t>
  </si>
  <si>
    <t>John Jackson</t>
  </si>
  <si>
    <t>US-2024-1048</t>
  </si>
  <si>
    <t>Lisa Moore</t>
  </si>
  <si>
    <t>Alabama</t>
  </si>
  <si>
    <t>Birmingham</t>
  </si>
  <si>
    <t>US-2025-1049</t>
  </si>
  <si>
    <t>Joseph Brown</t>
  </si>
  <si>
    <t>US-2025-1050</t>
  </si>
  <si>
    <t>US-2025-1051</t>
  </si>
  <si>
    <t>Sandra Gonzalez</t>
  </si>
  <si>
    <t>US-2025-1052</t>
  </si>
  <si>
    <t>US-2025-1053</t>
  </si>
  <si>
    <t>US-2025-1054</t>
  </si>
  <si>
    <t>Susan Jackson</t>
  </si>
  <si>
    <t>Labels</t>
  </si>
  <si>
    <t>US-2024-1055</t>
  </si>
  <si>
    <t>US-2024-1056</t>
  </si>
  <si>
    <t>US-2025-1057</t>
  </si>
  <si>
    <t>US-2024-1058</t>
  </si>
  <si>
    <t>US-2025-1059</t>
  </si>
  <si>
    <t>Karen Williams</t>
  </si>
  <si>
    <t>US-2024-1060</t>
  </si>
  <si>
    <t>Jennifer Anderson</t>
  </si>
  <si>
    <t>US-2024-1061</t>
  </si>
  <si>
    <t>Sarah Rodriguez</t>
  </si>
  <si>
    <t>US-2025-1062</t>
  </si>
  <si>
    <t>US-2025-1063</t>
  </si>
  <si>
    <t>Sandra Jackson</t>
  </si>
  <si>
    <t>US-2024-1064</t>
  </si>
  <si>
    <t>US-2024-1065</t>
  </si>
  <si>
    <t>Karen Hernandez</t>
  </si>
  <si>
    <t>US-2024-1066</t>
  </si>
  <si>
    <t>Richard Lopez</t>
  </si>
  <si>
    <t>US-2024-1067</t>
  </si>
  <si>
    <t>US-2024-1068</t>
  </si>
  <si>
    <t>Linda Johnson</t>
  </si>
  <si>
    <t>US-2025-1069</t>
  </si>
  <si>
    <t>US-2025-1070</t>
  </si>
  <si>
    <t>John Moore</t>
  </si>
  <si>
    <t>US-2024-1071</t>
  </si>
  <si>
    <t>US-2024-1072</t>
  </si>
  <si>
    <t>Joseph Smith</t>
  </si>
  <si>
    <t>US-2025-1073</t>
  </si>
  <si>
    <t>James Williams</t>
  </si>
  <si>
    <t>US-2024-1074</t>
  </si>
  <si>
    <t>US-2024-1075</t>
  </si>
  <si>
    <t>Matthew Martinez</t>
  </si>
  <si>
    <t>US-2025-1076</t>
  </si>
  <si>
    <t>Karen Garcia</t>
  </si>
  <si>
    <t>US-2024-1077</t>
  </si>
  <si>
    <t>Betty Wilson</t>
  </si>
  <si>
    <t>US-2024-1078</t>
  </si>
  <si>
    <t>Joseph Jackson</t>
  </si>
  <si>
    <t>US-2025-1079</t>
  </si>
  <si>
    <t>US-2024-1080</t>
  </si>
  <si>
    <t>US-2024-1081</t>
  </si>
  <si>
    <t>US-2024-1082</t>
  </si>
  <si>
    <t>Sarah Taylor</t>
  </si>
  <si>
    <t>US-2025-1083</t>
  </si>
  <si>
    <t>US-2024-1084</t>
  </si>
  <si>
    <t>US-2025-1085</t>
  </si>
  <si>
    <t>Sarah Garcia</t>
  </si>
  <si>
    <t>US-2024-1086</t>
  </si>
  <si>
    <t>Charles Miller</t>
  </si>
  <si>
    <t>US-2025-1087</t>
  </si>
  <si>
    <t>US-2025-1088</t>
  </si>
  <si>
    <t>US-2024-1089</t>
  </si>
  <si>
    <t>US-2024-1090</t>
  </si>
  <si>
    <t>Lisa Anderson</t>
  </si>
  <si>
    <t>US-2024-1091</t>
  </si>
  <si>
    <t>US-2025-1092</t>
  </si>
  <si>
    <t>US-2025-1093</t>
  </si>
  <si>
    <t>US-2024-1094</t>
  </si>
  <si>
    <t>Michael Moore</t>
  </si>
  <si>
    <t>US-2024-1095</t>
  </si>
  <si>
    <t>John Hernandez</t>
  </si>
  <si>
    <t>US-2024-1096</t>
  </si>
  <si>
    <t>Thomas Garcia</t>
  </si>
  <si>
    <t>US-2024-1097</t>
  </si>
  <si>
    <t>Robert Garcia</t>
  </si>
  <si>
    <t>US-2024-1098</t>
  </si>
  <si>
    <t>US-2024-1099</t>
  </si>
  <si>
    <t>US-2024-1100</t>
  </si>
  <si>
    <t>US-2025-1101</t>
  </si>
  <si>
    <t>US-2025-1102</t>
  </si>
  <si>
    <t>US-2025-1103</t>
  </si>
  <si>
    <t>US-2025-1104</t>
  </si>
  <si>
    <t>Margaret Martinez</t>
  </si>
  <si>
    <t>US-2025-1105</t>
  </si>
  <si>
    <t>US-2024-1106</t>
  </si>
  <si>
    <t>James Moore</t>
  </si>
  <si>
    <t>US-2025-1107</t>
  </si>
  <si>
    <t>US-2025-1108</t>
  </si>
  <si>
    <t>Mark Williams</t>
  </si>
  <si>
    <t>US-2025-1109</t>
  </si>
  <si>
    <t>US-2024-1110</t>
  </si>
  <si>
    <t>US-2024-1111</t>
  </si>
  <si>
    <t>Joseph Taylor</t>
  </si>
  <si>
    <t>US-2024-1112</t>
  </si>
  <si>
    <t>US-2024-1113</t>
  </si>
  <si>
    <t>US-2024-1114</t>
  </si>
  <si>
    <t>US-2025-1115</t>
  </si>
  <si>
    <t>Linda Hernandez</t>
  </si>
  <si>
    <t>US-2024-1116</t>
  </si>
  <si>
    <t>US-2025-1117</t>
  </si>
  <si>
    <t>US-2024-1118</t>
  </si>
  <si>
    <t>US-2025-1119</t>
  </si>
  <si>
    <t>James Jackson</t>
  </si>
  <si>
    <t>US-2024-1120</t>
  </si>
  <si>
    <t>US-2024-1121</t>
  </si>
  <si>
    <t>Thomas Martin</t>
  </si>
  <si>
    <t>US-2025-1122</t>
  </si>
  <si>
    <t>US-2024-1123</t>
  </si>
  <si>
    <t>Richard Rodriguez</t>
  </si>
  <si>
    <t>US-2025-1124</t>
  </si>
  <si>
    <t>US-2025-1125</t>
  </si>
  <si>
    <t>US-2025-1126</t>
  </si>
  <si>
    <t>William Rodriguez</t>
  </si>
  <si>
    <t>US-2025-1127</t>
  </si>
  <si>
    <t>US-2024-1128</t>
  </si>
  <si>
    <t>US-2024-1129</t>
  </si>
  <si>
    <t>Joseph Lopez</t>
  </si>
  <si>
    <t>US-2025-1130</t>
  </si>
  <si>
    <t>Robert Davis</t>
  </si>
  <si>
    <t>US-2025-1131</t>
  </si>
  <si>
    <t>US-2025-1132</t>
  </si>
  <si>
    <t>US-2025-1133</t>
  </si>
  <si>
    <t>US-2024-1134</t>
  </si>
  <si>
    <t>US-2024-1135</t>
  </si>
  <si>
    <t>Mark Taylor</t>
  </si>
  <si>
    <t>US-2025-1136</t>
  </si>
  <si>
    <t>US-2024-1137</t>
  </si>
  <si>
    <t>Thomas Rodriguez</t>
  </si>
  <si>
    <t>US-2025-1138</t>
  </si>
  <si>
    <t>US-2024-1139</t>
  </si>
  <si>
    <t>US-2024-1140</t>
  </si>
  <si>
    <t>US-2025-1141</t>
  </si>
  <si>
    <t>US-2025-1142</t>
  </si>
  <si>
    <t>US-2025-1143</t>
  </si>
  <si>
    <t>US-2025-1144</t>
  </si>
  <si>
    <t>US-2025-1145</t>
  </si>
  <si>
    <t>US-2024-1146</t>
  </si>
  <si>
    <t>Jessica Smith</t>
  </si>
  <si>
    <t>US-2024-1147</t>
  </si>
  <si>
    <t>US-2025-1148</t>
  </si>
  <si>
    <t>US-2025-1149</t>
  </si>
  <si>
    <t>David Taylor</t>
  </si>
  <si>
    <t>US-2024-1150</t>
  </si>
  <si>
    <t>Michael Davis</t>
  </si>
  <si>
    <t>US-2024-1151</t>
  </si>
  <si>
    <t>US-2024-1152</t>
  </si>
  <si>
    <t>US-2024-1153</t>
  </si>
  <si>
    <t>Anthony Jones</t>
  </si>
  <si>
    <t>US-2024-1154</t>
  </si>
  <si>
    <t>US-2024-1155</t>
  </si>
  <si>
    <t>US-2025-1156</t>
  </si>
  <si>
    <t>US-2024-1157</t>
  </si>
  <si>
    <t>US-2025-1158</t>
  </si>
  <si>
    <t>US-2025-1159</t>
  </si>
  <si>
    <t>Sarah Davis</t>
  </si>
  <si>
    <t>US-2025-1160</t>
  </si>
  <si>
    <t>US-2024-1161</t>
  </si>
  <si>
    <t>US-2024-1162</t>
  </si>
  <si>
    <t>US-2025-1163</t>
  </si>
  <si>
    <t>US-2025-1164</t>
  </si>
  <si>
    <t>US-2024-1165</t>
  </si>
  <si>
    <t>Nancy Brown</t>
  </si>
  <si>
    <t>US-2025-1166</t>
  </si>
  <si>
    <t>Daniel Brown</t>
  </si>
  <si>
    <t>US-2025-1167</t>
  </si>
  <si>
    <t>US-2025-1168</t>
  </si>
  <si>
    <t>US-2025-1169</t>
  </si>
  <si>
    <t>Nancy Moore</t>
  </si>
  <si>
    <t>US-2024-1170</t>
  </si>
  <si>
    <t>US-2024-1171</t>
  </si>
  <si>
    <t>US-2024-1172</t>
  </si>
  <si>
    <t>US-2024-1173</t>
  </si>
  <si>
    <t>US-2025-1174</t>
  </si>
  <si>
    <t>US-2024-1175</t>
  </si>
  <si>
    <t>Sarah Brown</t>
  </si>
  <si>
    <t>US-2024-1176</t>
  </si>
  <si>
    <t>US-2024-1177</t>
  </si>
  <si>
    <t>US-2025-1178</t>
  </si>
  <si>
    <t>US-2025-1179</t>
  </si>
  <si>
    <t>US-2024-1180</t>
  </si>
  <si>
    <t>US-2024-1181</t>
  </si>
  <si>
    <t>US-2025-1182</t>
  </si>
  <si>
    <t>US-2025-1183</t>
  </si>
  <si>
    <t>US-2025-1184</t>
  </si>
  <si>
    <t>US-2025-1185</t>
  </si>
  <si>
    <t>Susan Miller</t>
  </si>
  <si>
    <t>US-2025-1186</t>
  </si>
  <si>
    <t>Barbara Lopez</t>
  </si>
  <si>
    <t>US-2024-1187</t>
  </si>
  <si>
    <t>US-2024-1188</t>
  </si>
  <si>
    <t>US-2025-1189</t>
  </si>
  <si>
    <t>US-2024-1190</t>
  </si>
  <si>
    <t>US-2024-1191</t>
  </si>
  <si>
    <t>US-2024-1192</t>
  </si>
  <si>
    <t>US-2024-1193</t>
  </si>
  <si>
    <t>Paul Lopez</t>
  </si>
  <si>
    <t>US-2024-1194</t>
  </si>
  <si>
    <t>US-2025-1195</t>
  </si>
  <si>
    <t>Nancy Rodriguez</t>
  </si>
  <si>
    <t>US-2025-1196</t>
  </si>
  <si>
    <t>US-2025-1197</t>
  </si>
  <si>
    <t>US-2024-1198</t>
  </si>
  <si>
    <t>US-2024-1199</t>
  </si>
  <si>
    <t>US-2025-1200</t>
  </si>
  <si>
    <t>US-2025-1201</t>
  </si>
  <si>
    <t>US-2024-1202</t>
  </si>
  <si>
    <t>Susan Garcia</t>
  </si>
  <si>
    <t>US-2025-1203</t>
  </si>
  <si>
    <t>Jennifer Lopez</t>
  </si>
  <si>
    <t>US-2024-1204</t>
  </si>
  <si>
    <t>US-2024-1205</t>
  </si>
  <si>
    <t>Anthony Martinez</t>
  </si>
  <si>
    <t>US-2025-1206</t>
  </si>
  <si>
    <t>US-2025-1207</t>
  </si>
  <si>
    <t>US-2024-1208</t>
  </si>
  <si>
    <t>US-2024-1209</t>
  </si>
  <si>
    <t>US-2025-1210</t>
  </si>
  <si>
    <t>US-2024-1211</t>
  </si>
  <si>
    <t>US-2024-1212</t>
  </si>
  <si>
    <t>Matthew Wilson</t>
  </si>
  <si>
    <t>US-2024-1213</t>
  </si>
  <si>
    <t>US-2024-1214</t>
  </si>
  <si>
    <t>US-2025-1215</t>
  </si>
  <si>
    <t>US-2024-1216</t>
  </si>
  <si>
    <t>US-2025-1217</t>
  </si>
  <si>
    <t>US-2024-1218</t>
  </si>
  <si>
    <t>James Rodriguez</t>
  </si>
  <si>
    <t>US-2024-1219</t>
  </si>
  <si>
    <t>US-2025-1220</t>
  </si>
  <si>
    <t>US-2024-1221</t>
  </si>
  <si>
    <t>US-2025-1222</t>
  </si>
  <si>
    <t>US-2024-1223</t>
  </si>
  <si>
    <t>US-2025-1224</t>
  </si>
  <si>
    <t>US-2025-1225</t>
  </si>
  <si>
    <t>US-2025-1226</t>
  </si>
  <si>
    <t>US-2025-1227</t>
  </si>
  <si>
    <t>US-2025-1228</t>
  </si>
  <si>
    <t>US-2025-1229</t>
  </si>
  <si>
    <t>US-2025-1230</t>
  </si>
  <si>
    <t>US-2025-1231</t>
  </si>
  <si>
    <t>US-2024-1232</t>
  </si>
  <si>
    <t>US-2025-1233</t>
  </si>
  <si>
    <t>US-2025-1234</t>
  </si>
  <si>
    <t>US-2024-1235</t>
  </si>
  <si>
    <t>US-2024-1236</t>
  </si>
  <si>
    <t>US-2024-1237</t>
  </si>
  <si>
    <t>US-2025-1238</t>
  </si>
  <si>
    <t>US-2024-1239</t>
  </si>
  <si>
    <t>US-2025-1240</t>
  </si>
  <si>
    <t>US-2024-1241</t>
  </si>
  <si>
    <t>US-2024-1242</t>
  </si>
  <si>
    <t>US-2025-1243</t>
  </si>
  <si>
    <t>US-2025-1244</t>
  </si>
  <si>
    <t>Linda Jones</t>
  </si>
  <si>
    <t>US-2025-1245</t>
  </si>
  <si>
    <t>US-2024-1246</t>
  </si>
  <si>
    <t>US-2024-1247</t>
  </si>
  <si>
    <t>US-2025-1248</t>
  </si>
  <si>
    <t>US-2025-1249</t>
  </si>
  <si>
    <t>US-2024-1250</t>
  </si>
  <si>
    <t>US-2024-1251</t>
  </si>
  <si>
    <t>US-2025-1252</t>
  </si>
  <si>
    <t>US-2024-1253</t>
  </si>
  <si>
    <t>US-2025-1254</t>
  </si>
  <si>
    <t>US-2025-1255</t>
  </si>
  <si>
    <t>US-2024-1256</t>
  </si>
  <si>
    <t>US-2024-1257</t>
  </si>
  <si>
    <t>US-2024-1258</t>
  </si>
  <si>
    <t>US-2024-1259</t>
  </si>
  <si>
    <t>US-2025-1260</t>
  </si>
  <si>
    <t>US-2024-1261</t>
  </si>
  <si>
    <t>Sandra Smith</t>
  </si>
  <si>
    <t>US-2024-1262</t>
  </si>
  <si>
    <t>US-2025-1263</t>
  </si>
  <si>
    <t>US-2025-1264</t>
  </si>
  <si>
    <t>John Davis</t>
  </si>
  <si>
    <t>US-2024-1265</t>
  </si>
  <si>
    <t>US-2024-1266</t>
  </si>
  <si>
    <t>US-2024-1267</t>
  </si>
  <si>
    <t>US-2025-1268</t>
  </si>
  <si>
    <t>US-2024-1269</t>
  </si>
  <si>
    <t>US-2025-1270</t>
  </si>
  <si>
    <t>US-2024-1271</t>
  </si>
  <si>
    <t>Betty Johnson</t>
  </si>
  <si>
    <t>US-2025-1272</t>
  </si>
  <si>
    <t>US-2024-1273</t>
  </si>
  <si>
    <t>Mark Johnson</t>
  </si>
  <si>
    <t>US-2024-1274</t>
  </si>
  <si>
    <t>US-2024-1275</t>
  </si>
  <si>
    <t>US-2025-1276</t>
  </si>
  <si>
    <t>US-2024-1277</t>
  </si>
  <si>
    <t>US-2024-1278</t>
  </si>
  <si>
    <t>US-2024-1279</t>
  </si>
  <si>
    <t>US-2025-1280</t>
  </si>
  <si>
    <t>US-2025-1281</t>
  </si>
  <si>
    <t>US-2024-1282</t>
  </si>
  <si>
    <t>US-2025-1283</t>
  </si>
  <si>
    <t>US-2025-1284</t>
  </si>
  <si>
    <t>US-2025-1285</t>
  </si>
  <si>
    <t>US-2025-1286</t>
  </si>
  <si>
    <t>John Miller</t>
  </si>
  <si>
    <t>US-2024-1287</t>
  </si>
  <si>
    <t>US-2024-1288</t>
  </si>
  <si>
    <t>US-2024-1289</t>
  </si>
  <si>
    <t>US-2025-1290</t>
  </si>
  <si>
    <t>US-2024-1291</t>
  </si>
  <si>
    <t>US-2025-1292</t>
  </si>
  <si>
    <t>US-2024-1293</t>
  </si>
  <si>
    <t>US-2025-1294</t>
  </si>
  <si>
    <t>US-2025-1295</t>
  </si>
  <si>
    <t>US-2024-1296</t>
  </si>
  <si>
    <t>US-2024-1297</t>
  </si>
  <si>
    <t>US-2024-1298</t>
  </si>
  <si>
    <t>US-2024-1299</t>
  </si>
  <si>
    <t>US-2024-1300</t>
  </si>
  <si>
    <t>US-2024-1301</t>
  </si>
  <si>
    <t>US-2025-1302</t>
  </si>
  <si>
    <t>US-2025-1303</t>
  </si>
  <si>
    <t>US-2025-1304</t>
  </si>
  <si>
    <t>US-2025-1305</t>
  </si>
  <si>
    <t>Elizabeth Martin</t>
  </si>
  <si>
    <t>US-2025-1306</t>
  </si>
  <si>
    <t>US-2025-1307</t>
  </si>
  <si>
    <t>US-2025-1308</t>
  </si>
  <si>
    <t>US-2024-1309</t>
  </si>
  <si>
    <t>US-2024-1310</t>
  </si>
  <si>
    <t>US-2024-1311</t>
  </si>
  <si>
    <t>US-2025-1312</t>
  </si>
  <si>
    <t>US-2024-1313</t>
  </si>
  <si>
    <t>US-2025-1314</t>
  </si>
  <si>
    <t>US-2024-1315</t>
  </si>
  <si>
    <t>US-2025-1316</t>
  </si>
  <si>
    <t>US-2025-1317</t>
  </si>
  <si>
    <t>US-2025-1318</t>
  </si>
  <si>
    <t>US-2025-1319</t>
  </si>
  <si>
    <t>US-2025-1320</t>
  </si>
  <si>
    <t>US-2025-1321</t>
  </si>
  <si>
    <t>US-2025-1322</t>
  </si>
  <si>
    <t>US-2024-1323</t>
  </si>
  <si>
    <t>US-2025-1324</t>
  </si>
  <si>
    <t>US-2025-1325</t>
  </si>
  <si>
    <t>US-2025-1326</t>
  </si>
  <si>
    <t>US-2025-1327</t>
  </si>
  <si>
    <t>US-2025-1328</t>
  </si>
  <si>
    <t>US-2025-1329</t>
  </si>
  <si>
    <t>US-2024-1330</t>
  </si>
  <si>
    <t>US-2024-1331</t>
  </si>
  <si>
    <t>US-2024-1332</t>
  </si>
  <si>
    <t>US-2025-1333</t>
  </si>
  <si>
    <t>US-2024-1334</t>
  </si>
  <si>
    <t>US-2025-1335</t>
  </si>
  <si>
    <t>US-2024-1336</t>
  </si>
  <si>
    <t>US-2024-1337</t>
  </si>
  <si>
    <t>US-2025-1338</t>
  </si>
  <si>
    <t>US-2024-1339</t>
  </si>
  <si>
    <t>US-2024-1340</t>
  </si>
  <si>
    <t>US-2024-1341</t>
  </si>
  <si>
    <t>US-2024-1342</t>
  </si>
  <si>
    <t>US-2024-1343</t>
  </si>
  <si>
    <t>US-2024-1344</t>
  </si>
  <si>
    <t>US-2024-1345</t>
  </si>
  <si>
    <t>US-2025-1346</t>
  </si>
  <si>
    <t>US-2025-1347</t>
  </si>
  <si>
    <t>US-2025-1348</t>
  </si>
  <si>
    <t>US-2024-1349</t>
  </si>
  <si>
    <t>US-2025-1350</t>
  </si>
  <si>
    <t>US-2025-1351</t>
  </si>
  <si>
    <t>US-2025-1352</t>
  </si>
  <si>
    <t>US-2024-1353</t>
  </si>
  <si>
    <t>US-2025-1354</t>
  </si>
  <si>
    <t>US-2024-1355</t>
  </si>
  <si>
    <t>US-2025-1356</t>
  </si>
  <si>
    <t>US-2025-1357</t>
  </si>
  <si>
    <t>US-2025-1358</t>
  </si>
  <si>
    <t>US-2025-1359</t>
  </si>
  <si>
    <t>US-2025-1360</t>
  </si>
  <si>
    <t>US-2025-1361</t>
  </si>
  <si>
    <t>Richard Brown</t>
  </si>
  <si>
    <t>US-2024-1362</t>
  </si>
  <si>
    <t>US-2024-1363</t>
  </si>
  <si>
    <t>US-2025-1364</t>
  </si>
  <si>
    <t>US-2025-1365</t>
  </si>
  <si>
    <t>US-2024-1366</t>
  </si>
  <si>
    <t>US-2024-1367</t>
  </si>
  <si>
    <t>US-2024-1368</t>
  </si>
  <si>
    <t>US-2025-1369</t>
  </si>
  <si>
    <t>US-2024-1370</t>
  </si>
  <si>
    <t>US-2024-1371</t>
  </si>
  <si>
    <t>US-2024-1372</t>
  </si>
  <si>
    <t>US-2024-1373</t>
  </si>
  <si>
    <t>US-2024-1374</t>
  </si>
  <si>
    <t>US-2024-1375</t>
  </si>
  <si>
    <t>US-2024-1376</t>
  </si>
  <si>
    <t>US-2025-1377</t>
  </si>
  <si>
    <t>US-2025-1378</t>
  </si>
  <si>
    <t>US-2024-1379</t>
  </si>
  <si>
    <t>US-2025-1380</t>
  </si>
  <si>
    <t>US-2024-1381</t>
  </si>
  <si>
    <t>Anthony Moore</t>
  </si>
  <si>
    <t>US-2024-1382</t>
  </si>
  <si>
    <t>US-2025-1383</t>
  </si>
  <si>
    <t>US-2025-1384</t>
  </si>
  <si>
    <t>US-2025-1385</t>
  </si>
  <si>
    <t>US-2024-1386</t>
  </si>
  <si>
    <t>US-2024-1387</t>
  </si>
  <si>
    <t>US-2025-1388</t>
  </si>
  <si>
    <t>US-2024-1389</t>
  </si>
  <si>
    <t>US-2024-1390</t>
  </si>
  <si>
    <t>US-2024-1391</t>
  </si>
  <si>
    <t>US-2025-1392</t>
  </si>
  <si>
    <t>US-2025-1393</t>
  </si>
  <si>
    <t>US-2025-1394</t>
  </si>
  <si>
    <t>US-2024-1395</t>
  </si>
  <si>
    <t>US-2025-1396</t>
  </si>
  <si>
    <t>US-2025-1397</t>
  </si>
  <si>
    <t>US-2025-1398</t>
  </si>
  <si>
    <t>US-2025-1399</t>
  </si>
  <si>
    <t>US-2025-1400</t>
  </si>
  <si>
    <t>US-2025-1401</t>
  </si>
  <si>
    <t>US-2024-1402</t>
  </si>
  <si>
    <t>US-2025-1403</t>
  </si>
  <si>
    <t>US-2025-1404</t>
  </si>
  <si>
    <t>US-2025-1405</t>
  </si>
  <si>
    <t>US-2024-1406</t>
  </si>
  <si>
    <t>US-2024-1407</t>
  </si>
  <si>
    <t>US-2025-1408</t>
  </si>
  <si>
    <t>US-2024-1409</t>
  </si>
  <si>
    <t>US-2024-1410</t>
  </si>
  <si>
    <t>US-2025-1411</t>
  </si>
  <si>
    <t>US-2024-1412</t>
  </si>
  <si>
    <t>US-2025-1413</t>
  </si>
  <si>
    <t>US-2025-1414</t>
  </si>
  <si>
    <t>US-2025-1415</t>
  </si>
  <si>
    <t>US-2024-1416</t>
  </si>
  <si>
    <t>US-2024-1417</t>
  </si>
  <si>
    <t>US-2024-1418</t>
  </si>
  <si>
    <t>US-2025-1419</t>
  </si>
  <si>
    <t>US-2025-1420</t>
  </si>
  <si>
    <t>US-2025-1421</t>
  </si>
  <si>
    <t>US-2024-1422</t>
  </si>
  <si>
    <t>US-2024-1423</t>
  </si>
  <si>
    <t>US-2024-1424</t>
  </si>
  <si>
    <t>US-2024-1425</t>
  </si>
  <si>
    <t>US-2025-1426</t>
  </si>
  <si>
    <t>US-2024-1427</t>
  </si>
  <si>
    <t>US-2024-1428</t>
  </si>
  <si>
    <t>US-2024-1429</t>
  </si>
  <si>
    <t>US-2024-1430</t>
  </si>
  <si>
    <t>US-2024-1431</t>
  </si>
  <si>
    <t>US-2025-1432</t>
  </si>
  <si>
    <t>US-2024-1433</t>
  </si>
  <si>
    <t>US-2024-1434</t>
  </si>
  <si>
    <t>US-2024-1435</t>
  </si>
  <si>
    <t>US-2024-1436</t>
  </si>
  <si>
    <t>US-2025-1437</t>
  </si>
  <si>
    <t>US-2024-1438</t>
  </si>
  <si>
    <t>Karen Miller</t>
  </si>
  <si>
    <t>US-2025-1439</t>
  </si>
  <si>
    <t>US-2025-1440</t>
  </si>
  <si>
    <t>US-2025-1441</t>
  </si>
  <si>
    <t>US-2024-1442</t>
  </si>
  <si>
    <t>US-2024-1443</t>
  </si>
  <si>
    <t>US-2025-1444</t>
  </si>
  <si>
    <t>US-2025-1445</t>
  </si>
  <si>
    <t>US-2024-1446</t>
  </si>
  <si>
    <t>US-2025-1447</t>
  </si>
  <si>
    <t>US-2024-1448</t>
  </si>
  <si>
    <t>US-2025-1449</t>
  </si>
  <si>
    <t>US-2024-1450</t>
  </si>
  <si>
    <t>US-2024-1451</t>
  </si>
  <si>
    <t>US-2025-1452</t>
  </si>
  <si>
    <t>US-2024-1453</t>
  </si>
  <si>
    <t>US-2024-1454</t>
  </si>
  <si>
    <t>US-2025-1455</t>
  </si>
  <si>
    <t>US-2024-1456</t>
  </si>
  <si>
    <t>US-2024-1457</t>
  </si>
  <si>
    <t>US-2025-1458</t>
  </si>
  <si>
    <t>US-2025-1459</t>
  </si>
  <si>
    <t>US-2024-1460</t>
  </si>
  <si>
    <t>US-2025-1461</t>
  </si>
  <si>
    <t>US-2025-1462</t>
  </si>
  <si>
    <t>US-2025-1463</t>
  </si>
  <si>
    <t>US-2024-1464</t>
  </si>
  <si>
    <t>US-2024-1465</t>
  </si>
  <si>
    <t>US-2024-1466</t>
  </si>
  <si>
    <t>US-2024-1467</t>
  </si>
  <si>
    <t>US-2024-1468</t>
  </si>
  <si>
    <t>US-2024-1469</t>
  </si>
  <si>
    <t>US-2025-1470</t>
  </si>
  <si>
    <t>US-2025-1471</t>
  </si>
  <si>
    <t>US-2024-1472</t>
  </si>
  <si>
    <t>US-2025-1473</t>
  </si>
  <si>
    <t>US-2024-1474</t>
  </si>
  <si>
    <t>US-2025-1475</t>
  </si>
  <si>
    <t>US-2024-1476</t>
  </si>
  <si>
    <t>US-2025-1477</t>
  </si>
  <si>
    <t>US-2024-1478</t>
  </si>
  <si>
    <t>US-2024-1479</t>
  </si>
  <si>
    <t>US-2025-1480</t>
  </si>
  <si>
    <t>US-2024-1481</t>
  </si>
  <si>
    <t>US-2025-1482</t>
  </si>
  <si>
    <t>US-2024-1483</t>
  </si>
  <si>
    <t>US-2025-1484</t>
  </si>
  <si>
    <t>US-2025-1485</t>
  </si>
  <si>
    <t>US-2024-1486</t>
  </si>
  <si>
    <t>US-2024-1487</t>
  </si>
  <si>
    <t>US-2024-1488</t>
  </si>
  <si>
    <t>US-2025-1489</t>
  </si>
  <si>
    <t>US-2024-1490</t>
  </si>
  <si>
    <t>US-2024-1491</t>
  </si>
  <si>
    <t>US-2024-1492</t>
  </si>
  <si>
    <t>US-2024-1493</t>
  </si>
  <si>
    <t>US-2024-1494</t>
  </si>
  <si>
    <t>US-2025-1495</t>
  </si>
  <si>
    <t>US-2024-1496</t>
  </si>
  <si>
    <t>US-2025-1497</t>
  </si>
  <si>
    <t>US-2024-1498</t>
  </si>
  <si>
    <t>US-2025-1499</t>
  </si>
  <si>
    <t>US-2025-1500</t>
  </si>
  <si>
    <t>US-2025-1501</t>
  </si>
  <si>
    <t>US-2024-1502</t>
  </si>
  <si>
    <t>US-2024-1503</t>
  </si>
  <si>
    <t>US-2025-1504</t>
  </si>
  <si>
    <t>US-2024-1505</t>
  </si>
  <si>
    <t>US-2025-1506</t>
  </si>
  <si>
    <t>US-2025-1507</t>
  </si>
  <si>
    <t>US-2025-1508</t>
  </si>
  <si>
    <t>US-2025-1509</t>
  </si>
  <si>
    <t>US-2024-1510</t>
  </si>
  <si>
    <t>US-2025-1511</t>
  </si>
  <si>
    <t>US-2024-1512</t>
  </si>
  <si>
    <t>US-2024-1513</t>
  </si>
  <si>
    <t>US-2024-1514</t>
  </si>
  <si>
    <t>US-2025-1515</t>
  </si>
  <si>
    <t>US-2024-1516</t>
  </si>
  <si>
    <t>US-2024-1517</t>
  </si>
  <si>
    <t>US-2024-1518</t>
  </si>
  <si>
    <t>US-2024-1519</t>
  </si>
  <si>
    <t>US-2024-1520</t>
  </si>
  <si>
    <t>US-2024-1521</t>
  </si>
  <si>
    <t>US-2024-1522</t>
  </si>
  <si>
    <t>US-2025-1523</t>
  </si>
  <si>
    <t>US-2025-1524</t>
  </si>
  <si>
    <t>US-2024-1525</t>
  </si>
  <si>
    <t>US-2024-1526</t>
  </si>
  <si>
    <t>US-2024-1527</t>
  </si>
  <si>
    <t>US-2024-1528</t>
  </si>
  <si>
    <t>US-2025-1529</t>
  </si>
  <si>
    <t>US-2024-1530</t>
  </si>
  <si>
    <t>US-2025-1531</t>
  </si>
  <si>
    <t>US-2024-1532</t>
  </si>
  <si>
    <t>US-2024-1533</t>
  </si>
  <si>
    <t>US-2025-1534</t>
  </si>
  <si>
    <t>US-2024-1535</t>
  </si>
  <si>
    <t>US-2025-1536</t>
  </si>
  <si>
    <t>US-2025-1537</t>
  </si>
  <si>
    <t>US-2025-1538</t>
  </si>
  <si>
    <t>US-2024-1539</t>
  </si>
  <si>
    <t>US-2024-1540</t>
  </si>
  <si>
    <t>US-2024-1541</t>
  </si>
  <si>
    <t>US-2025-1542</t>
  </si>
  <si>
    <t>US-2025-1543</t>
  </si>
  <si>
    <t>US-2025-1544</t>
  </si>
  <si>
    <t>US-2024-1545</t>
  </si>
  <si>
    <t>US-2024-1546</t>
  </si>
  <si>
    <t>US-2025-1547</t>
  </si>
  <si>
    <t>US-2024-1548</t>
  </si>
  <si>
    <t>US-2024-1549</t>
  </si>
  <si>
    <t>US-2024-1550</t>
  </si>
  <si>
    <t>US-2024-1551</t>
  </si>
  <si>
    <t>US-2024-1552</t>
  </si>
  <si>
    <t>US-2024-1553</t>
  </si>
  <si>
    <t>US-2024-1554</t>
  </si>
  <si>
    <t>US-2024-1555</t>
  </si>
  <si>
    <t>US-2024-1556</t>
  </si>
  <si>
    <t>US-2025-1557</t>
  </si>
  <si>
    <t>US-2024-1558</t>
  </si>
  <si>
    <t>US-2025-1559</t>
  </si>
  <si>
    <t>US-2025-1560</t>
  </si>
  <si>
    <t>US-2024-1561</t>
  </si>
  <si>
    <t>US-2024-1562</t>
  </si>
  <si>
    <t>US-2025-1563</t>
  </si>
  <si>
    <t>US-2025-1564</t>
  </si>
  <si>
    <t>US-2024-1565</t>
  </si>
  <si>
    <t>US-2024-1566</t>
  </si>
  <si>
    <t>US-2025-1567</t>
  </si>
  <si>
    <t>US-2025-1568</t>
  </si>
  <si>
    <t>US-2024-1569</t>
  </si>
  <si>
    <t>US-2024-1570</t>
  </si>
  <si>
    <t>US-2025-1571</t>
  </si>
  <si>
    <t>US-2025-1572</t>
  </si>
  <si>
    <t>US-2024-1573</t>
  </si>
  <si>
    <t>US-2025-1574</t>
  </si>
  <si>
    <t>US-2024-1575</t>
  </si>
  <si>
    <t>US-2024-1576</t>
  </si>
  <si>
    <t>US-2025-1577</t>
  </si>
  <si>
    <t>US-2024-1578</t>
  </si>
  <si>
    <t>US-2024-1579</t>
  </si>
  <si>
    <t>US-2024-1580</t>
  </si>
  <si>
    <t>US-2024-1581</t>
  </si>
  <si>
    <t>US-2025-1582</t>
  </si>
  <si>
    <t>US-2024-1583</t>
  </si>
  <si>
    <t>US-2025-1584</t>
  </si>
  <si>
    <t>US-2024-1585</t>
  </si>
  <si>
    <t>US-2024-1586</t>
  </si>
  <si>
    <t>US-2025-1587</t>
  </si>
  <si>
    <t>US-2025-1588</t>
  </si>
  <si>
    <t>US-2025-1589</t>
  </si>
  <si>
    <t>US-2024-1590</t>
  </si>
  <si>
    <t>US-2025-1591</t>
  </si>
  <si>
    <t>US-2025-1592</t>
  </si>
  <si>
    <t>US-2024-1593</t>
  </si>
  <si>
    <t>US-2025-1594</t>
  </si>
  <si>
    <t>US-2024-1595</t>
  </si>
  <si>
    <t>US-2025-1596</t>
  </si>
  <si>
    <t>US-2024-1597</t>
  </si>
  <si>
    <t>US-2024-1598</t>
  </si>
  <si>
    <t>US-2024-1599</t>
  </si>
  <si>
    <t>US-2024-1600</t>
  </si>
  <si>
    <t>Q1: Total Sales and Profit by Region</t>
  </si>
  <si>
    <t>Total Sales</t>
  </si>
  <si>
    <t>Total Profit</t>
  </si>
  <si>
    <t>Q2: Which Categories Generate the Most Revenue</t>
  </si>
  <si>
    <t>Q3: Top 10 Customers by Sales</t>
  </si>
  <si>
    <t>Q4: How Sales Trend Month by Month</t>
  </si>
  <si>
    <t>Month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</si>
  <si>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</si>
  <si>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</si>
  <si>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</si>
  <si>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</si>
  <si>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</si>
  <si>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</si>
  <si>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</si>
  <si>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</si>
  <si>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</si>
  <si>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</si>
  <si>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</si>
  <si>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</si>
  <si>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</si>
  <si>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</si>
  <si>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</si>
  <si>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</si>
  <si>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</si>
  <si>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</si>
  <si>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</si>
  <si>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</si>
  <si>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</si>
  <si>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</si>
  <si>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</si>
  <si>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</si>
  <si>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Q5: Sub-Categories with the Lowest Profit Margin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</si>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</sst>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"/>
    <numFmt numFmtId="166" formatCode="0.0%"/>
  </numFmts>
  <fonts count="3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  <font>
      <b/>
      <sz val="13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&amp; 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'Q1 - Sales by Region'!$B$3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'Q1 - Sales by Region'!$A$4:$A$7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'Q1 - Sales by Region'!$B$4:$B$7</c:f>
              <c:numCache>
                <c:formatCode>\$#,##0</c:formatCode>
                <c:ptCount val="4"/>
                <c:pt idx="0">
                  <c:v>208007.97000000003</c:v>
                </c:pt>
                <c:pt idx="1">
                  <c:v>278158.43999999989</c:v>
                </c:pt>
                <c:pt idx="2">
                  <c:v>256242.37999999998</c:v>
                </c:pt>
                <c:pt idx="3">
                  <c:v>187955.94999999995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CD-4AB4-B5CD-9AF33A844578}"/>
            </c:ext>
          </c:extLst>
        </c:ser>
        <c:ser>
          <c:idx val="1"/>
          <c:order val="1"/>
          <c:tx>
            <c:strRef>
              <c:f>'Q1 - Sales by Region'!$C$3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'Q1 - Sales by Region'!$A$4:$A$7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'Q1 - Sales by Region'!$C$4:$C$7</c:f>
              <c:numCache>
                <c:formatCode>\$#,##0</c:formatCode>
                <c:ptCount val="4"/>
                <c:pt idx="0">
                  <c:v>24318.109999999997</c:v>
                </c:pt>
                <c:pt idx="1">
                  <c:v>39389.06</c:v>
                </c:pt>
                <c:pt idx="2">
                  <c:v>28024.560000000012</c:v>
                </c:pt>
                <c:pt idx="3">
                  <c:v>24763.799999999992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CD-4AB4-B5CD-9AF33A844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065973"/>
        <c:axId val="79832204"/>
      </c:barChart>
      <c:catAx>
        <c:axId val="460659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832204"/>
        <c:crosses val="autoZero"/>
        <c:auto val="1"/>
        <c:lblAlgn val="ctr"/>
        <c:lblOffset val="100"/>
        <c:noMultiLvlLbl val="0"/>
      </c:catAx>
      <c:valAx>
        <c:axId val="798322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0659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'Q2 - Revenue by Category'!$B$3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'Q2 - Revenue by Category'!$A$4:$A$6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'Q2 - Revenue by Category'!$B$4:$B$6</c:f>
              <c:numCache>
                <c:formatCode>\$#,##0</c:formatCode>
                <c:ptCount val="3"/>
                <c:pt idx="0">
                  <c:v>252148.23999999996</c:v>
                </c:pt>
                <c:pt idx="1">
                  <c:v>22620.16</c:v>
                </c:pt>
                <c:pt idx="2">
                  <c:v>655596.3400000002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B8-47DA-9DFD-85CD573AD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28226"/>
        <c:axId val="60366402"/>
      </c:barChart>
      <c:catAx>
        <c:axId val="133282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366402"/>
        <c:crosses val="autoZero"/>
        <c:auto val="1"/>
        <c:lblAlgn val="ctr"/>
        <c:lblOffset val="100"/>
        <c:noMultiLvlLbl val="0"/>
      </c:catAx>
      <c:valAx>
        <c:axId val="603664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3282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10 Customers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'Q3 - Top Customers'!$B$3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'Q3 - Top Customers'!$A$4:$A$13</c:f>
              <c:strCache>
                <c:ptCount val="10"/>
                <c:pt idx="0">
                  <c:v>Patricia Martinez</c:v>
                </c:pt>
                <c:pt idx="1">
                  <c:v>Patricia Lopez</c:v>
                </c:pt>
                <c:pt idx="2">
                  <c:v>Karen Williams</c:v>
                </c:pt>
                <c:pt idx="3">
                  <c:v>Joseph Taylor</c:v>
                </c:pt>
                <c:pt idx="4">
                  <c:v>Mark Taylor</c:v>
                </c:pt>
                <c:pt idx="5">
                  <c:v>Joseph Smith</c:v>
                </c:pt>
                <c:pt idx="6">
                  <c:v>Thomas Thomas</c:v>
                </c:pt>
                <c:pt idx="7">
                  <c:v>Sarah Garcia</c:v>
                </c:pt>
                <c:pt idx="8">
                  <c:v>Michael Davis</c:v>
                </c:pt>
                <c:pt idx="9">
                  <c:v>Susan Miller</c:v>
                </c:pt>
              </c:strCache>
            </c:strRef>
          </c:cat>
          <c:val>
            <c:numRef>
              <c:f>'Q3 - Top Customers'!$B$4:$B$13</c:f>
              <c:numCache>
                <c:formatCode>\$#,##0</c:formatCode>
                <c:ptCount val="10"/>
                <c:pt idx="0">
                  <c:v>26224.739999999998</c:v>
                </c:pt>
                <c:pt idx="1">
                  <c:v>23607.120000000003</c:v>
                </c:pt>
                <c:pt idx="2">
                  <c:v>21350.599999999995</c:v>
                </c:pt>
                <c:pt idx="3">
                  <c:v>20928.79</c:v>
                </c:pt>
                <c:pt idx="4">
                  <c:v>20915.100000000002</c:v>
                </c:pt>
                <c:pt idx="5">
                  <c:v>20533.04</c:v>
                </c:pt>
                <c:pt idx="6">
                  <c:v>19328.05</c:v>
                </c:pt>
                <c:pt idx="7">
                  <c:v>18435.7</c:v>
                </c:pt>
                <c:pt idx="8">
                  <c:v>18354.899999999998</c:v>
                </c:pt>
                <c:pt idx="9">
                  <c:v>18124.5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9B-4251-8C47-2C846EED8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853758"/>
        <c:axId val="68310721"/>
      </c:barChart>
      <c:catAx>
        <c:axId val="3685375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310721"/>
        <c:crosses val="autoZero"/>
        <c:auto val="1"/>
        <c:lblAlgn val="ctr"/>
        <c:lblOffset val="100"/>
        <c:noMultiLvlLbl val="0"/>
      </c:catAx>
      <c:valAx>
        <c:axId val="6831072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8537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'Q4 - Monthly Trend'!$B$3</c:f>
              <c:strCache>
                <c:ptCount val="1"/>
                <c:pt idx="0">
                  <c:v>Total Sales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'Q4 - Monthly Trend'!$A$4:$A$27</c:f>
              <c:strCache>
                <c:ptCount val="24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May-2025</c:v>
                </c:pt>
                <c:pt idx="17">
                  <c:v>Jun-2025</c:v>
                </c:pt>
                <c:pt idx="18">
                  <c:v>Jul-2025</c:v>
                </c:pt>
                <c:pt idx="19">
                  <c:v>Aug-2025</c:v>
                </c:pt>
                <c:pt idx="20">
                  <c:v>Sep-2025</c:v>
                </c:pt>
                <c:pt idx="21">
                  <c:v>Oct-2025</c:v>
                </c:pt>
                <c:pt idx="22">
                  <c:v>Nov-2025</c:v>
                </c:pt>
                <c:pt idx="23">
                  <c:v>Dec-2025</c:v>
                </c:pt>
              </c:strCache>
            </c:strRef>
          </c:cat>
          <c:val>
            <c:numRef>
              <c:f>'Q4 - Monthly Trend'!$B$4:$B$27</c:f>
              <c:numCache>
                <c:formatCode>\$#,##0</c:formatCode>
                <c:ptCount val="24"/>
                <c:pt idx="0">
                  <c:v>20060.390000000003</c:v>
                </c:pt>
                <c:pt idx="1">
                  <c:v>55738.62</c:v>
                </c:pt>
                <c:pt idx="2">
                  <c:v>46552.22</c:v>
                </c:pt>
                <c:pt idx="3">
                  <c:v>62287.070000000007</c:v>
                </c:pt>
                <c:pt idx="4">
                  <c:v>49574.12</c:v>
                </c:pt>
                <c:pt idx="5">
                  <c:v>37559.33</c:v>
                </c:pt>
                <c:pt idx="6">
                  <c:v>9719.2200000000012</c:v>
                </c:pt>
                <c:pt idx="7">
                  <c:v>22390.65</c:v>
                </c:pt>
                <c:pt idx="8">
                  <c:v>39278.42</c:v>
                </c:pt>
                <c:pt idx="9">
                  <c:v>39281.299999999988</c:v>
                </c:pt>
                <c:pt idx="10">
                  <c:v>24426.489999999998</c:v>
                </c:pt>
                <c:pt idx="11">
                  <c:v>52734.9</c:v>
                </c:pt>
                <c:pt idx="12">
                  <c:v>47970.98</c:v>
                </c:pt>
                <c:pt idx="13">
                  <c:v>18462.210000000003</c:v>
                </c:pt>
                <c:pt idx="14">
                  <c:v>29657.77</c:v>
                </c:pt>
                <c:pt idx="15">
                  <c:v>37698.92</c:v>
                </c:pt>
                <c:pt idx="16">
                  <c:v>65873.460000000021</c:v>
                </c:pt>
                <c:pt idx="17">
                  <c:v>37575.100000000006</c:v>
                </c:pt>
                <c:pt idx="18">
                  <c:v>48400.499999999993</c:v>
                </c:pt>
                <c:pt idx="19">
                  <c:v>24345.010000000002</c:v>
                </c:pt>
                <c:pt idx="20">
                  <c:v>32843.899999999994</c:v>
                </c:pt>
                <c:pt idx="21">
                  <c:v>36628.599999999991</c:v>
                </c:pt>
                <c:pt idx="22">
                  <c:v>51836.180000000008</c:v>
                </c:pt>
                <c:pt idx="23">
                  <c:v>39469.380000000005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CC2-4420-ACD1-742909C8B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9489282"/>
        <c:axId val="91017949"/>
      </c:lineChart>
      <c:catAx>
        <c:axId val="294892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017949"/>
        <c:crosses val="autoZero"/>
        <c:auto val="1"/>
        <c:lblAlgn val="ctr"/>
        <c:lblOffset val="100"/>
        <c:noMultiLvlLbl val="0"/>
      </c:catAx>
      <c:valAx>
        <c:axId val="910179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4892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Profit Margin by Sub-Category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'Q5 - Profit Margin'!$D$3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'Q5 - Profit Margin'!$A$4:$A$16</c:f>
              <c:strCache>
                <c:ptCount val="13"/>
                <c:pt idx="0">
                  <c:v>Accessories</c:v>
                </c:pt>
                <c:pt idx="1">
                  <c:v>Art</c:v>
                </c:pt>
                <c:pt idx="2">
                  <c:v>Binders</c:v>
                </c:pt>
                <c:pt idx="3">
                  <c:v>Bookcases</c:v>
                </c:pt>
                <c:pt idx="4">
                  <c:v>Chairs</c:v>
                </c:pt>
                <c:pt idx="5">
                  <c:v>Copiers</c:v>
                </c:pt>
                <c:pt idx="6">
                  <c:v>Furnishings</c:v>
                </c:pt>
                <c:pt idx="7">
                  <c:v>Labels</c:v>
                </c:pt>
                <c:pt idx="8">
                  <c:v>Machines</c:v>
                </c:pt>
                <c:pt idx="9">
                  <c:v>Paper</c:v>
                </c:pt>
                <c:pt idx="10">
                  <c:v>Phones</c:v>
                </c:pt>
                <c:pt idx="11">
                  <c:v>Storage</c:v>
                </c:pt>
                <c:pt idx="12">
                  <c:v>Tables</c:v>
                </c:pt>
              </c:strCache>
            </c:strRef>
          </c:cat>
          <c:val>
            <c:numRef>
              <c:f>'Q5 - Profit Margin'!$D$4:$D$16</c:f>
              <c:numCache>
                <c:formatCode>0.0%</c:formatCode>
                <c:ptCount val="13"/>
                <c:pt idx="0">
                  <c:v>0.18937346322052664</c:v>
                </c:pt>
                <c:pt idx="1">
                  <c:v>0.20272016464154408</c:v>
                </c:pt>
                <c:pt idx="2">
                  <c:v>0.19485276786432296</c:v>
                </c:pt>
                <c:pt idx="3">
                  <c:v>3.0806451130425093E-2</c:v>
                </c:pt>
                <c:pt idx="4">
                  <c:v>0.19787661288503561</c:v>
                </c:pt>
                <c:pt idx="5">
                  <c:v>0.18398191368740691</c:v>
                </c:pt>
                <c:pt idx="6">
                  <c:v>0.19609784535541905</c:v>
                </c:pt>
                <c:pt idx="7">
                  <c:v>0.19210552513688409</c:v>
                </c:pt>
                <c:pt idx="8">
                  <c:v>2.4500104125087983E-2</c:v>
                </c:pt>
                <c:pt idx="9">
                  <c:v>0.18828770169998513</c:v>
                </c:pt>
                <c:pt idx="10">
                  <c:v>0.18193258863232331</c:v>
                </c:pt>
                <c:pt idx="11">
                  <c:v>0.2013045474597786</c:v>
                </c:pt>
                <c:pt idx="12">
                  <c:v>1.7969661343260869E-2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D4-4ACC-8544-A9DD23964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109570"/>
        <c:axId val="15657530"/>
      </c:barChart>
      <c:catAx>
        <c:axId val="6110957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657530"/>
        <c:crosses val="autoZero"/>
        <c:auto val="1"/>
        <c:lblAlgn val="ctr"/>
        <c:lblOffset val="100"/>
        <c:noMultiLvlLbl val="0"/>
      </c:catAx>
      <c:valAx>
        <c:axId val="1565753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1095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175680</xdr:rowOff>
    </xdr:from>
    <xdr:to>
      <xdr:col>12</xdr:col>
      <xdr:colOff>147600</xdr:colOff>
      <xdr:row>17</xdr:row>
      <xdr:rowOff>7560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175680</xdr:rowOff>
    </xdr:from>
    <xdr:to>
      <xdr:col>10</xdr:col>
      <xdr:colOff>38880</xdr:colOff>
      <xdr:row>17</xdr:row>
      <xdr:rowOff>7560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175680</xdr:rowOff>
    </xdr:from>
    <xdr:to>
      <xdr:col>11</xdr:col>
      <xdr:colOff>147600</xdr:colOff>
      <xdr:row>18</xdr:row>
      <xdr:rowOff>176760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175680</xdr:rowOff>
    </xdr:from>
    <xdr:to>
      <xdr:col>12</xdr:col>
      <xdr:colOff>255960</xdr:colOff>
      <xdr:row>17</xdr:row>
      <xdr:rowOff>7560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175680</xdr:rowOff>
    </xdr:from>
    <xdr:to>
      <xdr:col>13</xdr:col>
      <xdr:colOff>147600</xdr:colOff>
      <xdr:row>18</xdr:row>
      <xdr:rowOff>176760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1"/>
  <sheetViews>
    <sheetView topLeftCell="C1" zoomScaleNormal="100" workbookViewId="0">
      <pane ySplit="1" topLeftCell="A18" activePane="bottomLeft" state="frozen"/>
      <selection pane="bottomLeft"/>
    </sheetView>
  </sheetViews>
  <sheetFormatPr defaultColWidth="8.7109375" defaultRowHeight="15" x14ac:dyDescent="0.25"/>
  <cols>
    <col min="1" max="15" width="14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45324</v>
      </c>
      <c r="C2" s="2">
        <v>45331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1323.44</v>
      </c>
      <c r="L2">
        <v>4</v>
      </c>
      <c r="M2">
        <v>0</v>
      </c>
      <c r="N2">
        <v>331.78</v>
      </c>
      <c r="O2" t="str">
        <f t="shared" ref="O2:O65" si="0">TEXT(B2,"mmm-yyyy")</f>
        <v>Feb-2024</v>
      </c>
    </row>
    <row r="3" spans="1:15" x14ac:dyDescent="0.25">
      <c r="A3" t="s">
        <v>23</v>
      </c>
      <c r="B3" s="2">
        <v>45708</v>
      </c>
      <c r="C3" s="2">
        <v>45710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>
        <v>162.47</v>
      </c>
      <c r="L3">
        <v>7</v>
      </c>
      <c r="M3">
        <v>0</v>
      </c>
      <c r="N3">
        <v>28.77</v>
      </c>
      <c r="O3" t="str">
        <f t="shared" si="0"/>
        <v>Feb-2025</v>
      </c>
    </row>
    <row r="4" spans="1:15" x14ac:dyDescent="0.25">
      <c r="A4" t="s">
        <v>31</v>
      </c>
      <c r="B4" s="2">
        <v>45639</v>
      </c>
      <c r="C4" s="2">
        <v>45646</v>
      </c>
      <c r="D4" t="s">
        <v>32</v>
      </c>
      <c r="E4" t="s">
        <v>25</v>
      </c>
      <c r="F4" t="s">
        <v>33</v>
      </c>
      <c r="G4" t="s">
        <v>34</v>
      </c>
      <c r="H4" t="s">
        <v>35</v>
      </c>
      <c r="I4" t="s">
        <v>21</v>
      </c>
      <c r="J4" t="s">
        <v>22</v>
      </c>
      <c r="K4">
        <v>3129.68</v>
      </c>
      <c r="L4">
        <v>4</v>
      </c>
      <c r="M4">
        <v>0</v>
      </c>
      <c r="N4">
        <v>335.07</v>
      </c>
      <c r="O4" t="str">
        <f t="shared" si="0"/>
        <v>Dec-2024</v>
      </c>
    </row>
    <row r="5" spans="1:15" x14ac:dyDescent="0.25">
      <c r="A5" t="s">
        <v>36</v>
      </c>
      <c r="B5" s="2">
        <v>45547</v>
      </c>
      <c r="C5" s="2">
        <v>45554</v>
      </c>
      <c r="D5" t="s">
        <v>37</v>
      </c>
      <c r="E5" t="s">
        <v>25</v>
      </c>
      <c r="F5" t="s">
        <v>33</v>
      </c>
      <c r="G5" t="s">
        <v>38</v>
      </c>
      <c r="H5" t="s">
        <v>39</v>
      </c>
      <c r="I5" t="s">
        <v>40</v>
      </c>
      <c r="J5" t="s">
        <v>41</v>
      </c>
      <c r="K5">
        <v>130.13999999999999</v>
      </c>
      <c r="L5">
        <v>8</v>
      </c>
      <c r="M5">
        <v>0.3</v>
      </c>
      <c r="N5">
        <v>40.14</v>
      </c>
      <c r="O5" t="str">
        <f t="shared" si="0"/>
        <v>Sep-2024</v>
      </c>
    </row>
    <row r="6" spans="1:15" x14ac:dyDescent="0.25">
      <c r="A6" t="s">
        <v>42</v>
      </c>
      <c r="B6" s="2">
        <v>45462</v>
      </c>
      <c r="C6" s="2">
        <v>45466</v>
      </c>
      <c r="D6" t="s">
        <v>43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>
        <v>1295.81</v>
      </c>
      <c r="L6">
        <v>4</v>
      </c>
      <c r="M6">
        <v>0.3</v>
      </c>
      <c r="N6">
        <v>220.69</v>
      </c>
      <c r="O6" t="str">
        <f t="shared" si="0"/>
        <v>Jun-2024</v>
      </c>
    </row>
    <row r="7" spans="1:15" x14ac:dyDescent="0.25">
      <c r="A7" t="s">
        <v>44</v>
      </c>
      <c r="B7" s="2">
        <v>45757</v>
      </c>
      <c r="C7" s="2">
        <v>45760</v>
      </c>
      <c r="D7" t="s">
        <v>45</v>
      </c>
      <c r="E7" t="s">
        <v>25</v>
      </c>
      <c r="F7" t="s">
        <v>18</v>
      </c>
      <c r="G7" t="s">
        <v>46</v>
      </c>
      <c r="H7" t="s">
        <v>47</v>
      </c>
      <c r="I7" t="s">
        <v>40</v>
      </c>
      <c r="J7" t="s">
        <v>48</v>
      </c>
      <c r="K7">
        <v>144.56</v>
      </c>
      <c r="L7">
        <v>8</v>
      </c>
      <c r="M7">
        <v>0</v>
      </c>
      <c r="N7">
        <v>15.46</v>
      </c>
      <c r="O7" t="str">
        <f t="shared" si="0"/>
        <v>Apr-2025</v>
      </c>
    </row>
    <row r="8" spans="1:15" x14ac:dyDescent="0.25">
      <c r="A8" t="s">
        <v>49</v>
      </c>
      <c r="B8" s="2">
        <v>45350</v>
      </c>
      <c r="C8" s="2">
        <v>45351</v>
      </c>
      <c r="D8" t="s">
        <v>50</v>
      </c>
      <c r="E8" t="s">
        <v>25</v>
      </c>
      <c r="F8" t="s">
        <v>26</v>
      </c>
      <c r="G8" t="s">
        <v>51</v>
      </c>
      <c r="H8" t="s">
        <v>52</v>
      </c>
      <c r="I8" t="s">
        <v>21</v>
      </c>
      <c r="J8" t="s">
        <v>22</v>
      </c>
      <c r="K8">
        <v>1639.65</v>
      </c>
      <c r="L8">
        <v>3</v>
      </c>
      <c r="M8">
        <v>0</v>
      </c>
      <c r="N8">
        <v>554.58000000000004</v>
      </c>
      <c r="O8" t="str">
        <f t="shared" si="0"/>
        <v>Feb-2024</v>
      </c>
    </row>
    <row r="9" spans="1:15" x14ac:dyDescent="0.25">
      <c r="A9" t="s">
        <v>53</v>
      </c>
      <c r="B9" s="2">
        <v>45705</v>
      </c>
      <c r="C9" s="2">
        <v>45706</v>
      </c>
      <c r="D9" t="s">
        <v>54</v>
      </c>
      <c r="E9" t="s">
        <v>17</v>
      </c>
      <c r="F9" t="s">
        <v>18</v>
      </c>
      <c r="G9" t="s">
        <v>46</v>
      </c>
      <c r="H9" t="s">
        <v>47</v>
      </c>
      <c r="I9" t="s">
        <v>29</v>
      </c>
      <c r="J9" t="s">
        <v>55</v>
      </c>
      <c r="K9">
        <v>1936.74</v>
      </c>
      <c r="L9">
        <v>4</v>
      </c>
      <c r="M9">
        <v>0.15</v>
      </c>
      <c r="N9">
        <v>442.27</v>
      </c>
      <c r="O9" t="str">
        <f t="shared" si="0"/>
        <v>Feb-2025</v>
      </c>
    </row>
    <row r="10" spans="1:15" x14ac:dyDescent="0.25">
      <c r="A10" t="s">
        <v>56</v>
      </c>
      <c r="B10" s="2">
        <v>45977</v>
      </c>
      <c r="C10" s="2">
        <v>45983</v>
      </c>
      <c r="D10" t="s">
        <v>57</v>
      </c>
      <c r="E10" t="s">
        <v>17</v>
      </c>
      <c r="F10" t="s">
        <v>18</v>
      </c>
      <c r="G10" t="s">
        <v>58</v>
      </c>
      <c r="H10" t="s">
        <v>59</v>
      </c>
      <c r="I10" t="s">
        <v>21</v>
      </c>
      <c r="J10" t="s">
        <v>60</v>
      </c>
      <c r="K10">
        <v>455</v>
      </c>
      <c r="L10">
        <v>5</v>
      </c>
      <c r="M10">
        <v>0.1</v>
      </c>
      <c r="N10">
        <v>40.61</v>
      </c>
      <c r="O10" t="str">
        <f t="shared" si="0"/>
        <v>Nov-2025</v>
      </c>
    </row>
    <row r="11" spans="1:15" x14ac:dyDescent="0.25">
      <c r="A11" t="s">
        <v>61</v>
      </c>
      <c r="B11" s="2">
        <v>45928</v>
      </c>
      <c r="C11" s="2">
        <v>45933</v>
      </c>
      <c r="D11" t="s">
        <v>62</v>
      </c>
      <c r="E11" t="s">
        <v>25</v>
      </c>
      <c r="F11" t="s">
        <v>63</v>
      </c>
      <c r="G11" t="s">
        <v>64</v>
      </c>
      <c r="H11" t="s">
        <v>65</v>
      </c>
      <c r="I11" t="s">
        <v>40</v>
      </c>
      <c r="J11" t="s">
        <v>48</v>
      </c>
      <c r="K11">
        <v>67.75</v>
      </c>
      <c r="L11">
        <v>2</v>
      </c>
      <c r="M11">
        <v>0.15</v>
      </c>
      <c r="N11">
        <v>7.72</v>
      </c>
      <c r="O11" t="str">
        <f t="shared" si="0"/>
        <v>Sep-2025</v>
      </c>
    </row>
    <row r="12" spans="1:15" x14ac:dyDescent="0.25">
      <c r="A12" t="s">
        <v>66</v>
      </c>
      <c r="B12" s="2">
        <v>45583</v>
      </c>
      <c r="C12" s="2">
        <v>45585</v>
      </c>
      <c r="D12" t="s">
        <v>24</v>
      </c>
      <c r="E12" t="s">
        <v>25</v>
      </c>
      <c r="F12" t="s">
        <v>63</v>
      </c>
      <c r="G12" t="s">
        <v>67</v>
      </c>
      <c r="H12" t="s">
        <v>68</v>
      </c>
      <c r="I12" t="s">
        <v>40</v>
      </c>
      <c r="J12" t="s">
        <v>48</v>
      </c>
      <c r="K12">
        <v>79.260000000000005</v>
      </c>
      <c r="L12">
        <v>5</v>
      </c>
      <c r="M12">
        <v>0.15</v>
      </c>
      <c r="N12">
        <v>27.36</v>
      </c>
      <c r="O12" t="str">
        <f t="shared" si="0"/>
        <v>Oct-2024</v>
      </c>
    </row>
    <row r="13" spans="1:15" x14ac:dyDescent="0.25">
      <c r="A13" t="s">
        <v>69</v>
      </c>
      <c r="B13" s="2">
        <v>45410</v>
      </c>
      <c r="C13" s="2">
        <v>45411</v>
      </c>
      <c r="D13" t="s">
        <v>70</v>
      </c>
      <c r="E13" t="s">
        <v>25</v>
      </c>
      <c r="F13" t="s">
        <v>18</v>
      </c>
      <c r="G13" t="s">
        <v>71</v>
      </c>
      <c r="H13" t="s">
        <v>72</v>
      </c>
      <c r="I13" t="s">
        <v>40</v>
      </c>
      <c r="J13" t="s">
        <v>48</v>
      </c>
      <c r="K13">
        <v>90.63</v>
      </c>
      <c r="L13">
        <v>3</v>
      </c>
      <c r="M13">
        <v>0</v>
      </c>
      <c r="N13">
        <v>12.19</v>
      </c>
      <c r="O13" t="str">
        <f t="shared" si="0"/>
        <v>Apr-2024</v>
      </c>
    </row>
    <row r="14" spans="1:15" x14ac:dyDescent="0.25">
      <c r="A14" t="s">
        <v>73</v>
      </c>
      <c r="B14" s="2">
        <v>45549</v>
      </c>
      <c r="C14" s="2">
        <v>45556</v>
      </c>
      <c r="D14" t="s">
        <v>74</v>
      </c>
      <c r="E14" t="s">
        <v>25</v>
      </c>
      <c r="F14" t="s">
        <v>26</v>
      </c>
      <c r="G14" t="s">
        <v>75</v>
      </c>
      <c r="H14" t="s">
        <v>76</v>
      </c>
      <c r="I14" t="s">
        <v>29</v>
      </c>
      <c r="J14" t="s">
        <v>77</v>
      </c>
      <c r="K14">
        <v>543.07000000000005</v>
      </c>
      <c r="L14">
        <v>7</v>
      </c>
      <c r="M14">
        <v>0.3</v>
      </c>
      <c r="N14">
        <v>-7.62</v>
      </c>
      <c r="O14" t="str">
        <f t="shared" si="0"/>
        <v>Sep-2024</v>
      </c>
    </row>
    <row r="15" spans="1:15" x14ac:dyDescent="0.25">
      <c r="A15" t="s">
        <v>78</v>
      </c>
      <c r="B15" s="2">
        <v>45744</v>
      </c>
      <c r="C15" s="2">
        <v>45749</v>
      </c>
      <c r="D15" t="s">
        <v>79</v>
      </c>
      <c r="E15" t="s">
        <v>80</v>
      </c>
      <c r="F15" t="s">
        <v>18</v>
      </c>
      <c r="G15" t="s">
        <v>81</v>
      </c>
      <c r="H15" t="s">
        <v>82</v>
      </c>
      <c r="I15" t="s">
        <v>29</v>
      </c>
      <c r="J15" t="s">
        <v>77</v>
      </c>
      <c r="K15">
        <v>379.32</v>
      </c>
      <c r="L15">
        <v>1</v>
      </c>
      <c r="M15">
        <v>0</v>
      </c>
      <c r="N15">
        <v>-15.26</v>
      </c>
      <c r="O15" t="str">
        <f t="shared" si="0"/>
        <v>Mar-2025</v>
      </c>
    </row>
    <row r="16" spans="1:15" x14ac:dyDescent="0.25">
      <c r="A16" t="s">
        <v>83</v>
      </c>
      <c r="B16" s="2">
        <v>45443</v>
      </c>
      <c r="C16" s="2">
        <v>45447</v>
      </c>
      <c r="D16" t="s">
        <v>84</v>
      </c>
      <c r="E16" t="s">
        <v>80</v>
      </c>
      <c r="F16" t="s">
        <v>26</v>
      </c>
      <c r="G16" t="s">
        <v>27</v>
      </c>
      <c r="H16" t="s">
        <v>28</v>
      </c>
      <c r="I16" t="s">
        <v>29</v>
      </c>
      <c r="J16" t="s">
        <v>77</v>
      </c>
      <c r="K16">
        <v>711.25</v>
      </c>
      <c r="L16">
        <v>5</v>
      </c>
      <c r="M16">
        <v>0</v>
      </c>
      <c r="N16">
        <v>47.56</v>
      </c>
      <c r="O16" t="str">
        <f t="shared" si="0"/>
        <v>May-2024</v>
      </c>
    </row>
    <row r="17" spans="1:15" x14ac:dyDescent="0.25">
      <c r="A17" t="s">
        <v>85</v>
      </c>
      <c r="B17" s="2">
        <v>45654</v>
      </c>
      <c r="C17" s="2">
        <v>45661</v>
      </c>
      <c r="D17" t="s">
        <v>86</v>
      </c>
      <c r="E17" t="s">
        <v>17</v>
      </c>
      <c r="F17" t="s">
        <v>18</v>
      </c>
      <c r="G17" t="s">
        <v>81</v>
      </c>
      <c r="H17" t="s">
        <v>82</v>
      </c>
      <c r="I17" t="s">
        <v>29</v>
      </c>
      <c r="J17" t="s">
        <v>87</v>
      </c>
      <c r="K17">
        <v>3260.06</v>
      </c>
      <c r="L17">
        <v>7</v>
      </c>
      <c r="M17">
        <v>0.15</v>
      </c>
      <c r="N17">
        <v>154.63</v>
      </c>
      <c r="O17" t="str">
        <f t="shared" si="0"/>
        <v>Dec-2024</v>
      </c>
    </row>
    <row r="18" spans="1:15" x14ac:dyDescent="0.25">
      <c r="A18" t="s">
        <v>88</v>
      </c>
      <c r="B18" s="2">
        <v>45632</v>
      </c>
      <c r="C18" s="2">
        <v>45639</v>
      </c>
      <c r="D18" t="s">
        <v>89</v>
      </c>
      <c r="E18" t="s">
        <v>17</v>
      </c>
      <c r="F18" t="s">
        <v>26</v>
      </c>
      <c r="G18" t="s">
        <v>90</v>
      </c>
      <c r="H18" t="s">
        <v>91</v>
      </c>
      <c r="I18" t="s">
        <v>29</v>
      </c>
      <c r="J18" t="s">
        <v>30</v>
      </c>
      <c r="K18">
        <v>561.24</v>
      </c>
      <c r="L18">
        <v>4</v>
      </c>
      <c r="M18">
        <v>0</v>
      </c>
      <c r="N18">
        <v>54.87</v>
      </c>
      <c r="O18" t="str">
        <f t="shared" si="0"/>
        <v>Dec-2024</v>
      </c>
    </row>
    <row r="19" spans="1:15" x14ac:dyDescent="0.25">
      <c r="A19" t="s">
        <v>92</v>
      </c>
      <c r="B19" s="2">
        <v>45763</v>
      </c>
      <c r="C19" s="2">
        <v>45766</v>
      </c>
      <c r="D19" t="s">
        <v>93</v>
      </c>
      <c r="E19" t="s">
        <v>17</v>
      </c>
      <c r="F19" t="s">
        <v>18</v>
      </c>
      <c r="G19" t="s">
        <v>58</v>
      </c>
      <c r="H19" t="s">
        <v>59</v>
      </c>
      <c r="I19" t="s">
        <v>29</v>
      </c>
      <c r="J19" t="s">
        <v>30</v>
      </c>
      <c r="K19">
        <v>210.92</v>
      </c>
      <c r="L19">
        <v>4</v>
      </c>
      <c r="M19">
        <v>0</v>
      </c>
      <c r="N19">
        <v>12.04</v>
      </c>
      <c r="O19" t="str">
        <f t="shared" si="0"/>
        <v>Apr-2025</v>
      </c>
    </row>
    <row r="20" spans="1:15" x14ac:dyDescent="0.25">
      <c r="A20" t="s">
        <v>94</v>
      </c>
      <c r="B20" s="2">
        <v>45651</v>
      </c>
      <c r="C20" s="2">
        <v>45657</v>
      </c>
      <c r="D20" t="s">
        <v>95</v>
      </c>
      <c r="E20" t="s">
        <v>25</v>
      </c>
      <c r="F20" t="s">
        <v>26</v>
      </c>
      <c r="G20" t="s">
        <v>96</v>
      </c>
      <c r="H20" t="s">
        <v>97</v>
      </c>
      <c r="I20" t="s">
        <v>40</v>
      </c>
      <c r="J20" t="s">
        <v>98</v>
      </c>
      <c r="K20">
        <v>640.74</v>
      </c>
      <c r="L20">
        <v>6</v>
      </c>
      <c r="M20">
        <v>0</v>
      </c>
      <c r="N20">
        <v>54.21</v>
      </c>
      <c r="O20" t="str">
        <f t="shared" si="0"/>
        <v>Dec-2024</v>
      </c>
    </row>
    <row r="21" spans="1:15" x14ac:dyDescent="0.25">
      <c r="A21" t="s">
        <v>99</v>
      </c>
      <c r="B21" s="2">
        <v>45902</v>
      </c>
      <c r="C21" s="2">
        <v>45906</v>
      </c>
      <c r="D21" t="s">
        <v>100</v>
      </c>
      <c r="E21" t="s">
        <v>17</v>
      </c>
      <c r="F21" t="s">
        <v>63</v>
      </c>
      <c r="G21" t="s">
        <v>67</v>
      </c>
      <c r="H21" t="s">
        <v>68</v>
      </c>
      <c r="I21" t="s">
        <v>21</v>
      </c>
      <c r="J21" t="s">
        <v>60</v>
      </c>
      <c r="K21">
        <v>595.35</v>
      </c>
      <c r="L21">
        <v>6</v>
      </c>
      <c r="M21">
        <v>0.1</v>
      </c>
      <c r="N21">
        <v>138.04</v>
      </c>
      <c r="O21" t="str">
        <f t="shared" si="0"/>
        <v>Sep-2025</v>
      </c>
    </row>
    <row r="22" spans="1:15" x14ac:dyDescent="0.25">
      <c r="A22" t="s">
        <v>101</v>
      </c>
      <c r="B22" s="2">
        <v>46017</v>
      </c>
      <c r="C22" s="2">
        <v>46021</v>
      </c>
      <c r="D22" t="s">
        <v>102</v>
      </c>
      <c r="E22" t="s">
        <v>17</v>
      </c>
      <c r="F22" t="s">
        <v>18</v>
      </c>
      <c r="G22" t="s">
        <v>58</v>
      </c>
      <c r="H22" t="s">
        <v>59</v>
      </c>
      <c r="I22" t="s">
        <v>21</v>
      </c>
      <c r="J22" t="s">
        <v>103</v>
      </c>
      <c r="K22">
        <v>1214.8800000000001</v>
      </c>
      <c r="L22">
        <v>4</v>
      </c>
      <c r="M22">
        <v>0</v>
      </c>
      <c r="N22">
        <v>217.94</v>
      </c>
      <c r="O22" t="str">
        <f t="shared" si="0"/>
        <v>Dec-2025</v>
      </c>
    </row>
    <row r="23" spans="1:15" x14ac:dyDescent="0.25">
      <c r="A23" t="s">
        <v>104</v>
      </c>
      <c r="B23" s="2">
        <v>45811</v>
      </c>
      <c r="C23" s="2">
        <v>45814</v>
      </c>
      <c r="D23" t="s">
        <v>105</v>
      </c>
      <c r="E23" t="s">
        <v>25</v>
      </c>
      <c r="F23" t="s">
        <v>63</v>
      </c>
      <c r="G23" t="s">
        <v>106</v>
      </c>
      <c r="H23" t="s">
        <v>107</v>
      </c>
      <c r="I23" t="s">
        <v>40</v>
      </c>
      <c r="J23" t="s">
        <v>48</v>
      </c>
      <c r="K23">
        <v>147.63999999999999</v>
      </c>
      <c r="L23">
        <v>6</v>
      </c>
      <c r="M23">
        <v>0.1</v>
      </c>
      <c r="N23">
        <v>38.26</v>
      </c>
      <c r="O23" t="str">
        <f t="shared" si="0"/>
        <v>Jun-2025</v>
      </c>
    </row>
    <row r="24" spans="1:15" x14ac:dyDescent="0.25">
      <c r="A24" t="s">
        <v>108</v>
      </c>
      <c r="B24" s="2">
        <v>45470</v>
      </c>
      <c r="C24" s="2">
        <v>45475</v>
      </c>
      <c r="D24" t="s">
        <v>54</v>
      </c>
      <c r="E24" t="s">
        <v>80</v>
      </c>
      <c r="F24" t="s">
        <v>26</v>
      </c>
      <c r="G24" t="s">
        <v>90</v>
      </c>
      <c r="H24" t="s">
        <v>91</v>
      </c>
      <c r="I24" t="s">
        <v>40</v>
      </c>
      <c r="J24" t="s">
        <v>109</v>
      </c>
      <c r="K24">
        <v>174.45</v>
      </c>
      <c r="L24">
        <v>7</v>
      </c>
      <c r="M24">
        <v>0.15</v>
      </c>
      <c r="N24">
        <v>52.36</v>
      </c>
      <c r="O24" t="str">
        <f t="shared" si="0"/>
        <v>Jun-2024</v>
      </c>
    </row>
    <row r="25" spans="1:15" x14ac:dyDescent="0.25">
      <c r="A25" t="s">
        <v>110</v>
      </c>
      <c r="B25" s="2">
        <v>45913</v>
      </c>
      <c r="C25" s="2">
        <v>45919</v>
      </c>
      <c r="D25" t="s">
        <v>111</v>
      </c>
      <c r="E25" t="s">
        <v>80</v>
      </c>
      <c r="F25" t="s">
        <v>63</v>
      </c>
      <c r="G25" t="s">
        <v>112</v>
      </c>
      <c r="H25" t="s">
        <v>113</v>
      </c>
      <c r="I25" t="s">
        <v>29</v>
      </c>
      <c r="J25" t="s">
        <v>30</v>
      </c>
      <c r="K25">
        <v>396.79</v>
      </c>
      <c r="L25">
        <v>8</v>
      </c>
      <c r="M25">
        <v>0.1</v>
      </c>
      <c r="N25">
        <v>100.26</v>
      </c>
      <c r="O25" t="str">
        <f t="shared" si="0"/>
        <v>Sep-2025</v>
      </c>
    </row>
    <row r="26" spans="1:15" x14ac:dyDescent="0.25">
      <c r="A26" t="s">
        <v>114</v>
      </c>
      <c r="B26" s="2">
        <v>45971</v>
      </c>
      <c r="C26" s="2">
        <v>45977</v>
      </c>
      <c r="D26" t="s">
        <v>115</v>
      </c>
      <c r="E26" t="s">
        <v>80</v>
      </c>
      <c r="F26" t="s">
        <v>33</v>
      </c>
      <c r="G26" t="s">
        <v>38</v>
      </c>
      <c r="H26" t="s">
        <v>39</v>
      </c>
      <c r="I26" t="s">
        <v>21</v>
      </c>
      <c r="J26" t="s">
        <v>22</v>
      </c>
      <c r="K26">
        <v>806.92</v>
      </c>
      <c r="L26">
        <v>2</v>
      </c>
      <c r="M26">
        <v>0.3</v>
      </c>
      <c r="N26">
        <v>270.8</v>
      </c>
      <c r="O26" t="str">
        <f t="shared" si="0"/>
        <v>Nov-2025</v>
      </c>
    </row>
    <row r="27" spans="1:15" x14ac:dyDescent="0.25">
      <c r="A27" t="s">
        <v>116</v>
      </c>
      <c r="B27" s="2">
        <v>45339</v>
      </c>
      <c r="C27" s="2">
        <v>45341</v>
      </c>
      <c r="D27" t="s">
        <v>117</v>
      </c>
      <c r="E27" t="s">
        <v>17</v>
      </c>
      <c r="F27" t="s">
        <v>26</v>
      </c>
      <c r="G27" t="s">
        <v>75</v>
      </c>
      <c r="H27" t="s">
        <v>76</v>
      </c>
      <c r="I27" t="s">
        <v>29</v>
      </c>
      <c r="J27" t="s">
        <v>87</v>
      </c>
      <c r="K27">
        <v>1596.87</v>
      </c>
      <c r="L27">
        <v>2</v>
      </c>
      <c r="M27">
        <v>0.1</v>
      </c>
      <c r="N27">
        <v>6.19</v>
      </c>
      <c r="O27" t="str">
        <f t="shared" si="0"/>
        <v>Feb-2024</v>
      </c>
    </row>
    <row r="28" spans="1:15" x14ac:dyDescent="0.25">
      <c r="A28" t="s">
        <v>118</v>
      </c>
      <c r="B28" s="2">
        <v>45963</v>
      </c>
      <c r="C28" s="2">
        <v>45969</v>
      </c>
      <c r="D28" t="s">
        <v>24</v>
      </c>
      <c r="E28" t="s">
        <v>17</v>
      </c>
      <c r="F28" t="s">
        <v>26</v>
      </c>
      <c r="G28" t="s">
        <v>96</v>
      </c>
      <c r="H28" t="s">
        <v>97</v>
      </c>
      <c r="I28" t="s">
        <v>40</v>
      </c>
      <c r="J28" t="s">
        <v>109</v>
      </c>
      <c r="K28">
        <v>3.18</v>
      </c>
      <c r="L28">
        <v>2</v>
      </c>
      <c r="M28">
        <v>0.3</v>
      </c>
      <c r="N28">
        <v>0.56000000000000005</v>
      </c>
      <c r="O28" t="str">
        <f t="shared" si="0"/>
        <v>Nov-2025</v>
      </c>
    </row>
    <row r="29" spans="1:15" x14ac:dyDescent="0.25">
      <c r="A29" t="s">
        <v>119</v>
      </c>
      <c r="B29" s="2">
        <v>45416</v>
      </c>
      <c r="C29" s="2">
        <v>45420</v>
      </c>
      <c r="D29" t="s">
        <v>120</v>
      </c>
      <c r="E29" t="s">
        <v>17</v>
      </c>
      <c r="F29" t="s">
        <v>26</v>
      </c>
      <c r="G29" t="s">
        <v>27</v>
      </c>
      <c r="H29" t="s">
        <v>28</v>
      </c>
      <c r="I29" t="s">
        <v>40</v>
      </c>
      <c r="J29" t="s">
        <v>48</v>
      </c>
      <c r="K29">
        <v>45.25</v>
      </c>
      <c r="L29">
        <v>8</v>
      </c>
      <c r="M29">
        <v>0.2</v>
      </c>
      <c r="N29">
        <v>9.4700000000000006</v>
      </c>
      <c r="O29" t="str">
        <f t="shared" si="0"/>
        <v>May-2024</v>
      </c>
    </row>
    <row r="30" spans="1:15" x14ac:dyDescent="0.25">
      <c r="A30" t="s">
        <v>121</v>
      </c>
      <c r="B30" s="2">
        <v>45748</v>
      </c>
      <c r="C30" s="2">
        <v>45750</v>
      </c>
      <c r="D30" t="s">
        <v>122</v>
      </c>
      <c r="E30" t="s">
        <v>80</v>
      </c>
      <c r="F30" t="s">
        <v>63</v>
      </c>
      <c r="G30" t="s">
        <v>64</v>
      </c>
      <c r="H30" t="s">
        <v>65</v>
      </c>
      <c r="I30" t="s">
        <v>21</v>
      </c>
      <c r="J30" t="s">
        <v>123</v>
      </c>
      <c r="K30">
        <v>9822.31</v>
      </c>
      <c r="L30">
        <v>8</v>
      </c>
      <c r="M30">
        <v>0.1</v>
      </c>
      <c r="N30">
        <v>-160.15</v>
      </c>
      <c r="O30" t="str">
        <f t="shared" si="0"/>
        <v>Apr-2025</v>
      </c>
    </row>
    <row r="31" spans="1:15" x14ac:dyDescent="0.25">
      <c r="A31" t="s">
        <v>124</v>
      </c>
      <c r="B31" s="2">
        <v>45573</v>
      </c>
      <c r="C31" s="2">
        <v>45577</v>
      </c>
      <c r="D31" t="s">
        <v>125</v>
      </c>
      <c r="E31" t="s">
        <v>17</v>
      </c>
      <c r="F31" t="s">
        <v>26</v>
      </c>
      <c r="G31" t="s">
        <v>75</v>
      </c>
      <c r="H31" t="s">
        <v>76</v>
      </c>
      <c r="I31" t="s">
        <v>21</v>
      </c>
      <c r="J31" t="s">
        <v>123</v>
      </c>
      <c r="K31">
        <v>1158.5999999999999</v>
      </c>
      <c r="L31">
        <v>5</v>
      </c>
      <c r="M31">
        <v>0</v>
      </c>
      <c r="N31">
        <v>-17</v>
      </c>
      <c r="O31" t="str">
        <f t="shared" si="0"/>
        <v>Oct-2024</v>
      </c>
    </row>
    <row r="32" spans="1:15" x14ac:dyDescent="0.25">
      <c r="A32" t="s">
        <v>126</v>
      </c>
      <c r="B32" s="2">
        <v>45684</v>
      </c>
      <c r="C32" s="2">
        <v>45690</v>
      </c>
      <c r="D32" t="s">
        <v>127</v>
      </c>
      <c r="E32" t="s">
        <v>17</v>
      </c>
      <c r="F32" t="s">
        <v>63</v>
      </c>
      <c r="G32" t="s">
        <v>106</v>
      </c>
      <c r="H32" t="s">
        <v>107</v>
      </c>
      <c r="I32" t="s">
        <v>29</v>
      </c>
      <c r="J32" t="s">
        <v>87</v>
      </c>
      <c r="K32">
        <v>888.96</v>
      </c>
      <c r="L32">
        <v>4</v>
      </c>
      <c r="M32">
        <v>0</v>
      </c>
      <c r="N32">
        <v>3.5</v>
      </c>
      <c r="O32" t="str">
        <f t="shared" si="0"/>
        <v>Jan-2025</v>
      </c>
    </row>
    <row r="33" spans="1:15" x14ac:dyDescent="0.25">
      <c r="A33" t="s">
        <v>128</v>
      </c>
      <c r="B33" s="2">
        <v>45722</v>
      </c>
      <c r="C33" s="2">
        <v>45726</v>
      </c>
      <c r="D33" t="s">
        <v>32</v>
      </c>
      <c r="E33" t="s">
        <v>17</v>
      </c>
      <c r="F33" t="s">
        <v>63</v>
      </c>
      <c r="G33" t="s">
        <v>106</v>
      </c>
      <c r="H33" t="s">
        <v>107</v>
      </c>
      <c r="I33" t="s">
        <v>40</v>
      </c>
      <c r="J33" t="s">
        <v>109</v>
      </c>
      <c r="K33">
        <v>31.8</v>
      </c>
      <c r="L33">
        <v>1</v>
      </c>
      <c r="M33">
        <v>0.3</v>
      </c>
      <c r="N33">
        <v>9.99</v>
      </c>
      <c r="O33" t="str">
        <f t="shared" si="0"/>
        <v>Mar-2025</v>
      </c>
    </row>
    <row r="34" spans="1:15" x14ac:dyDescent="0.25">
      <c r="A34" t="s">
        <v>129</v>
      </c>
      <c r="B34" s="2">
        <v>45721</v>
      </c>
      <c r="C34" s="2">
        <v>45726</v>
      </c>
      <c r="D34" t="s">
        <v>130</v>
      </c>
      <c r="E34" t="s">
        <v>25</v>
      </c>
      <c r="F34" t="s">
        <v>33</v>
      </c>
      <c r="G34" t="s">
        <v>131</v>
      </c>
      <c r="H34" t="s">
        <v>132</v>
      </c>
      <c r="I34" t="s">
        <v>29</v>
      </c>
      <c r="J34" t="s">
        <v>77</v>
      </c>
      <c r="K34">
        <v>1427.33</v>
      </c>
      <c r="L34">
        <v>4</v>
      </c>
      <c r="M34">
        <v>0.1</v>
      </c>
      <c r="N34">
        <v>-30.65</v>
      </c>
      <c r="O34" t="str">
        <f t="shared" si="0"/>
        <v>Mar-2025</v>
      </c>
    </row>
    <row r="35" spans="1:15" x14ac:dyDescent="0.25">
      <c r="A35" t="s">
        <v>133</v>
      </c>
      <c r="B35" s="2">
        <v>45987</v>
      </c>
      <c r="C35" s="2">
        <v>45994</v>
      </c>
      <c r="D35" t="s">
        <v>134</v>
      </c>
      <c r="E35" t="s">
        <v>80</v>
      </c>
      <c r="F35" t="s">
        <v>33</v>
      </c>
      <c r="G35" t="s">
        <v>131</v>
      </c>
      <c r="H35" t="s">
        <v>132</v>
      </c>
      <c r="I35" t="s">
        <v>29</v>
      </c>
      <c r="J35" t="s">
        <v>30</v>
      </c>
      <c r="K35">
        <v>139.86000000000001</v>
      </c>
      <c r="L35">
        <v>3</v>
      </c>
      <c r="M35">
        <v>0.3</v>
      </c>
      <c r="N35">
        <v>26.6</v>
      </c>
      <c r="O35" t="str">
        <f t="shared" si="0"/>
        <v>Nov-2025</v>
      </c>
    </row>
    <row r="36" spans="1:15" x14ac:dyDescent="0.25">
      <c r="A36" t="s">
        <v>135</v>
      </c>
      <c r="B36" s="2">
        <v>45869</v>
      </c>
      <c r="C36" s="2">
        <v>45875</v>
      </c>
      <c r="D36" t="s">
        <v>136</v>
      </c>
      <c r="E36" t="s">
        <v>80</v>
      </c>
      <c r="F36" t="s">
        <v>26</v>
      </c>
      <c r="G36" t="s">
        <v>27</v>
      </c>
      <c r="H36" t="s">
        <v>28</v>
      </c>
      <c r="I36" t="s">
        <v>21</v>
      </c>
      <c r="J36" t="s">
        <v>22</v>
      </c>
      <c r="K36">
        <v>511.28</v>
      </c>
      <c r="L36">
        <v>7</v>
      </c>
      <c r="M36">
        <v>0</v>
      </c>
      <c r="N36">
        <v>158.53</v>
      </c>
      <c r="O36" t="str">
        <f t="shared" si="0"/>
        <v>Jul-2025</v>
      </c>
    </row>
    <row r="37" spans="1:15" x14ac:dyDescent="0.25">
      <c r="A37" t="s">
        <v>137</v>
      </c>
      <c r="B37" s="2">
        <v>45757</v>
      </c>
      <c r="C37" s="2">
        <v>45760</v>
      </c>
      <c r="D37" t="s">
        <v>138</v>
      </c>
      <c r="E37" t="s">
        <v>17</v>
      </c>
      <c r="F37" t="s">
        <v>26</v>
      </c>
      <c r="G37" t="s">
        <v>51</v>
      </c>
      <c r="H37" t="s">
        <v>52</v>
      </c>
      <c r="I37" t="s">
        <v>40</v>
      </c>
      <c r="J37" t="s">
        <v>109</v>
      </c>
      <c r="K37">
        <v>127.4</v>
      </c>
      <c r="L37">
        <v>7</v>
      </c>
      <c r="M37">
        <v>0</v>
      </c>
      <c r="N37">
        <v>35.11</v>
      </c>
      <c r="O37" t="str">
        <f t="shared" si="0"/>
        <v>Apr-2025</v>
      </c>
    </row>
    <row r="38" spans="1:15" x14ac:dyDescent="0.25">
      <c r="A38" t="s">
        <v>139</v>
      </c>
      <c r="B38" s="2">
        <v>45844</v>
      </c>
      <c r="C38" s="2">
        <v>45845</v>
      </c>
      <c r="D38" t="s">
        <v>140</v>
      </c>
      <c r="E38" t="s">
        <v>80</v>
      </c>
      <c r="F38" t="s">
        <v>33</v>
      </c>
      <c r="G38" t="s">
        <v>141</v>
      </c>
      <c r="H38" t="s">
        <v>142</v>
      </c>
      <c r="I38" t="s">
        <v>29</v>
      </c>
      <c r="J38" t="s">
        <v>30</v>
      </c>
      <c r="K38">
        <v>899.94</v>
      </c>
      <c r="L38">
        <v>6</v>
      </c>
      <c r="M38">
        <v>0</v>
      </c>
      <c r="N38">
        <v>220.52</v>
      </c>
      <c r="O38" t="str">
        <f t="shared" si="0"/>
        <v>Jul-2025</v>
      </c>
    </row>
    <row r="39" spans="1:15" x14ac:dyDescent="0.25">
      <c r="A39" t="s">
        <v>143</v>
      </c>
      <c r="B39" s="2">
        <v>45928</v>
      </c>
      <c r="C39" s="2">
        <v>45930</v>
      </c>
      <c r="D39" t="s">
        <v>144</v>
      </c>
      <c r="E39" t="s">
        <v>17</v>
      </c>
      <c r="F39" t="s">
        <v>18</v>
      </c>
      <c r="G39" t="s">
        <v>19</v>
      </c>
      <c r="H39" t="s">
        <v>20</v>
      </c>
      <c r="I39" t="s">
        <v>29</v>
      </c>
      <c r="J39" t="s">
        <v>87</v>
      </c>
      <c r="K39">
        <v>1861.38</v>
      </c>
      <c r="L39">
        <v>8</v>
      </c>
      <c r="M39">
        <v>0.2</v>
      </c>
      <c r="N39">
        <v>-65.39</v>
      </c>
      <c r="O39" t="str">
        <f t="shared" si="0"/>
        <v>Sep-2025</v>
      </c>
    </row>
    <row r="40" spans="1:15" x14ac:dyDescent="0.25">
      <c r="A40" t="s">
        <v>145</v>
      </c>
      <c r="B40" s="2">
        <v>45463</v>
      </c>
      <c r="C40" s="2">
        <v>45468</v>
      </c>
      <c r="D40" t="s">
        <v>146</v>
      </c>
      <c r="E40" t="s">
        <v>25</v>
      </c>
      <c r="F40" t="s">
        <v>26</v>
      </c>
      <c r="G40" t="s">
        <v>96</v>
      </c>
      <c r="H40" t="s">
        <v>97</v>
      </c>
      <c r="I40" t="s">
        <v>21</v>
      </c>
      <c r="J40" t="s">
        <v>60</v>
      </c>
      <c r="K40">
        <v>260.54000000000002</v>
      </c>
      <c r="L40">
        <v>2</v>
      </c>
      <c r="M40">
        <v>0.3</v>
      </c>
      <c r="N40">
        <v>77.069999999999993</v>
      </c>
      <c r="O40" t="str">
        <f t="shared" si="0"/>
        <v>Jun-2024</v>
      </c>
    </row>
    <row r="41" spans="1:15" x14ac:dyDescent="0.25">
      <c r="A41" t="s">
        <v>147</v>
      </c>
      <c r="B41" s="2">
        <v>45985</v>
      </c>
      <c r="C41" s="2">
        <v>45989</v>
      </c>
      <c r="D41" t="s">
        <v>148</v>
      </c>
      <c r="E41" t="s">
        <v>80</v>
      </c>
      <c r="F41" t="s">
        <v>63</v>
      </c>
      <c r="G41" t="s">
        <v>149</v>
      </c>
      <c r="H41" t="s">
        <v>150</v>
      </c>
      <c r="I41" t="s">
        <v>21</v>
      </c>
      <c r="J41" t="s">
        <v>22</v>
      </c>
      <c r="K41">
        <v>1548.64</v>
      </c>
      <c r="L41">
        <v>4</v>
      </c>
      <c r="M41">
        <v>0</v>
      </c>
      <c r="N41">
        <v>352.52</v>
      </c>
      <c r="O41" t="str">
        <f t="shared" si="0"/>
        <v>Nov-2025</v>
      </c>
    </row>
    <row r="42" spans="1:15" x14ac:dyDescent="0.25">
      <c r="A42" t="s">
        <v>151</v>
      </c>
      <c r="B42" s="2">
        <v>45415</v>
      </c>
      <c r="C42" s="2">
        <v>45422</v>
      </c>
      <c r="D42" t="s">
        <v>152</v>
      </c>
      <c r="E42" t="s">
        <v>80</v>
      </c>
      <c r="F42" t="s">
        <v>26</v>
      </c>
      <c r="G42" t="s">
        <v>51</v>
      </c>
      <c r="H42" t="s">
        <v>52</v>
      </c>
      <c r="I42" t="s">
        <v>21</v>
      </c>
      <c r="J42" t="s">
        <v>60</v>
      </c>
      <c r="K42">
        <v>295.31</v>
      </c>
      <c r="L42">
        <v>1</v>
      </c>
      <c r="M42">
        <v>0</v>
      </c>
      <c r="N42">
        <v>61.96</v>
      </c>
      <c r="O42" t="str">
        <f t="shared" si="0"/>
        <v>May-2024</v>
      </c>
    </row>
    <row r="43" spans="1:15" x14ac:dyDescent="0.25">
      <c r="A43" t="s">
        <v>153</v>
      </c>
      <c r="B43" s="2">
        <v>45793</v>
      </c>
      <c r="C43" s="2">
        <v>45794</v>
      </c>
      <c r="D43" t="s">
        <v>62</v>
      </c>
      <c r="E43" t="s">
        <v>25</v>
      </c>
      <c r="F43" t="s">
        <v>63</v>
      </c>
      <c r="G43" t="s">
        <v>149</v>
      </c>
      <c r="H43" t="s">
        <v>150</v>
      </c>
      <c r="I43" t="s">
        <v>21</v>
      </c>
      <c r="J43" t="s">
        <v>60</v>
      </c>
      <c r="K43">
        <v>651.46</v>
      </c>
      <c r="L43">
        <v>6</v>
      </c>
      <c r="M43">
        <v>0.2</v>
      </c>
      <c r="N43">
        <v>206.82</v>
      </c>
      <c r="O43" t="str">
        <f t="shared" si="0"/>
        <v>May-2025</v>
      </c>
    </row>
    <row r="44" spans="1:15" x14ac:dyDescent="0.25">
      <c r="A44" t="s">
        <v>154</v>
      </c>
      <c r="B44" s="2">
        <v>45958</v>
      </c>
      <c r="C44" s="2">
        <v>45961</v>
      </c>
      <c r="D44" t="s">
        <v>155</v>
      </c>
      <c r="E44" t="s">
        <v>80</v>
      </c>
      <c r="F44" t="s">
        <v>33</v>
      </c>
      <c r="G44" t="s">
        <v>38</v>
      </c>
      <c r="H44" t="s">
        <v>39</v>
      </c>
      <c r="I44" t="s">
        <v>40</v>
      </c>
      <c r="J44" t="s">
        <v>41</v>
      </c>
      <c r="K44">
        <v>116.42</v>
      </c>
      <c r="L44">
        <v>8</v>
      </c>
      <c r="M44">
        <v>0.1</v>
      </c>
      <c r="N44">
        <v>21.03</v>
      </c>
      <c r="O44" t="str">
        <f t="shared" si="0"/>
        <v>Oct-2025</v>
      </c>
    </row>
    <row r="45" spans="1:15" x14ac:dyDescent="0.25">
      <c r="A45" t="s">
        <v>156</v>
      </c>
      <c r="B45" s="2">
        <v>45541</v>
      </c>
      <c r="C45" s="2">
        <v>45548</v>
      </c>
      <c r="D45" t="s">
        <v>37</v>
      </c>
      <c r="E45" t="s">
        <v>25</v>
      </c>
      <c r="F45" t="s">
        <v>63</v>
      </c>
      <c r="G45" t="s">
        <v>112</v>
      </c>
      <c r="H45" t="s">
        <v>113</v>
      </c>
      <c r="I45" t="s">
        <v>29</v>
      </c>
      <c r="J45" t="s">
        <v>55</v>
      </c>
      <c r="K45">
        <v>2251.5500000000002</v>
      </c>
      <c r="L45">
        <v>7</v>
      </c>
      <c r="M45">
        <v>0</v>
      </c>
      <c r="N45">
        <v>131.96</v>
      </c>
      <c r="O45" t="str">
        <f t="shared" si="0"/>
        <v>Sep-2024</v>
      </c>
    </row>
    <row r="46" spans="1:15" x14ac:dyDescent="0.25">
      <c r="A46" t="s">
        <v>157</v>
      </c>
      <c r="B46" s="2">
        <v>45640</v>
      </c>
      <c r="C46" s="2">
        <v>45643</v>
      </c>
      <c r="D46" t="s">
        <v>158</v>
      </c>
      <c r="E46" t="s">
        <v>25</v>
      </c>
      <c r="F46" t="s">
        <v>63</v>
      </c>
      <c r="G46" t="s">
        <v>67</v>
      </c>
      <c r="H46" t="s">
        <v>68</v>
      </c>
      <c r="I46" t="s">
        <v>40</v>
      </c>
      <c r="J46" t="s">
        <v>41</v>
      </c>
      <c r="K46">
        <v>94.56</v>
      </c>
      <c r="L46">
        <v>5</v>
      </c>
      <c r="M46">
        <v>0.15</v>
      </c>
      <c r="N46">
        <v>5.0199999999999996</v>
      </c>
      <c r="O46" t="str">
        <f t="shared" si="0"/>
        <v>Dec-2024</v>
      </c>
    </row>
    <row r="47" spans="1:15" x14ac:dyDescent="0.25">
      <c r="A47" t="s">
        <v>159</v>
      </c>
      <c r="B47" s="2">
        <v>45538</v>
      </c>
      <c r="C47" s="2">
        <v>45544</v>
      </c>
      <c r="D47" t="s">
        <v>160</v>
      </c>
      <c r="E47" t="s">
        <v>80</v>
      </c>
      <c r="F47" t="s">
        <v>26</v>
      </c>
      <c r="G47" t="s">
        <v>51</v>
      </c>
      <c r="H47" t="s">
        <v>52</v>
      </c>
      <c r="I47" t="s">
        <v>29</v>
      </c>
      <c r="J47" t="s">
        <v>30</v>
      </c>
      <c r="K47">
        <v>551.88</v>
      </c>
      <c r="L47">
        <v>8</v>
      </c>
      <c r="M47">
        <v>0.1</v>
      </c>
      <c r="N47">
        <v>158.88</v>
      </c>
      <c r="O47" t="str">
        <f t="shared" si="0"/>
        <v>Sep-2024</v>
      </c>
    </row>
    <row r="48" spans="1:15" x14ac:dyDescent="0.25">
      <c r="A48" t="s">
        <v>161</v>
      </c>
      <c r="B48" s="2">
        <v>45605</v>
      </c>
      <c r="C48" s="2">
        <v>45611</v>
      </c>
      <c r="D48" t="s">
        <v>162</v>
      </c>
      <c r="E48" t="s">
        <v>17</v>
      </c>
      <c r="F48" t="s">
        <v>18</v>
      </c>
      <c r="G48" t="s">
        <v>81</v>
      </c>
      <c r="H48" t="s">
        <v>82</v>
      </c>
      <c r="I48" t="s">
        <v>29</v>
      </c>
      <c r="J48" t="s">
        <v>30</v>
      </c>
      <c r="K48">
        <v>621.66</v>
      </c>
      <c r="L48">
        <v>8</v>
      </c>
      <c r="M48">
        <v>0.15</v>
      </c>
      <c r="N48">
        <v>130.1</v>
      </c>
      <c r="O48" t="str">
        <f t="shared" si="0"/>
        <v>Nov-2024</v>
      </c>
    </row>
    <row r="49" spans="1:15" x14ac:dyDescent="0.25">
      <c r="A49" t="s">
        <v>163</v>
      </c>
      <c r="B49" s="2">
        <v>45569</v>
      </c>
      <c r="C49" s="2">
        <v>45572</v>
      </c>
      <c r="D49" t="s">
        <v>164</v>
      </c>
      <c r="E49" t="s">
        <v>25</v>
      </c>
      <c r="F49" t="s">
        <v>33</v>
      </c>
      <c r="G49" t="s">
        <v>165</v>
      </c>
      <c r="H49" t="s">
        <v>166</v>
      </c>
      <c r="I49" t="s">
        <v>40</v>
      </c>
      <c r="J49" t="s">
        <v>98</v>
      </c>
      <c r="K49">
        <v>92.43</v>
      </c>
      <c r="L49">
        <v>2</v>
      </c>
      <c r="M49">
        <v>0.2</v>
      </c>
      <c r="N49">
        <v>9.9600000000000009</v>
      </c>
      <c r="O49" t="str">
        <f t="shared" si="0"/>
        <v>Oct-2024</v>
      </c>
    </row>
    <row r="50" spans="1:15" x14ac:dyDescent="0.25">
      <c r="A50" t="s">
        <v>167</v>
      </c>
      <c r="B50" s="2">
        <v>45787</v>
      </c>
      <c r="C50" s="2">
        <v>45790</v>
      </c>
      <c r="D50" t="s">
        <v>168</v>
      </c>
      <c r="E50" t="s">
        <v>17</v>
      </c>
      <c r="F50" t="s">
        <v>18</v>
      </c>
      <c r="G50" t="s">
        <v>71</v>
      </c>
      <c r="H50" t="s">
        <v>72</v>
      </c>
      <c r="I50" t="s">
        <v>21</v>
      </c>
      <c r="J50" t="s">
        <v>103</v>
      </c>
      <c r="K50">
        <v>9470.4500000000007</v>
      </c>
      <c r="L50">
        <v>5</v>
      </c>
      <c r="M50">
        <v>0</v>
      </c>
      <c r="N50">
        <v>2839.13</v>
      </c>
      <c r="O50" t="str">
        <f t="shared" si="0"/>
        <v>May-2025</v>
      </c>
    </row>
    <row r="51" spans="1:15" x14ac:dyDescent="0.25">
      <c r="A51" t="s">
        <v>169</v>
      </c>
      <c r="B51" s="2">
        <v>46017</v>
      </c>
      <c r="C51" s="2">
        <v>46022</v>
      </c>
      <c r="D51" t="s">
        <v>130</v>
      </c>
      <c r="E51" t="s">
        <v>17</v>
      </c>
      <c r="F51" t="s">
        <v>63</v>
      </c>
      <c r="G51" t="s">
        <v>67</v>
      </c>
      <c r="H51" t="s">
        <v>68</v>
      </c>
      <c r="I51" t="s">
        <v>40</v>
      </c>
      <c r="J51" t="s">
        <v>41</v>
      </c>
      <c r="K51">
        <v>4.91</v>
      </c>
      <c r="L51">
        <v>1</v>
      </c>
      <c r="M51">
        <v>0</v>
      </c>
      <c r="N51">
        <v>1.06</v>
      </c>
      <c r="O51" t="str">
        <f t="shared" si="0"/>
        <v>Dec-2025</v>
      </c>
    </row>
    <row r="52" spans="1:15" x14ac:dyDescent="0.25">
      <c r="A52" t="s">
        <v>170</v>
      </c>
      <c r="B52" s="2">
        <v>45772</v>
      </c>
      <c r="C52" s="2">
        <v>45776</v>
      </c>
      <c r="D52" t="s">
        <v>171</v>
      </c>
      <c r="E52" t="s">
        <v>25</v>
      </c>
      <c r="F52" t="s">
        <v>26</v>
      </c>
      <c r="G52" t="s">
        <v>96</v>
      </c>
      <c r="H52" t="s">
        <v>97</v>
      </c>
      <c r="I52" t="s">
        <v>29</v>
      </c>
      <c r="J52" t="s">
        <v>55</v>
      </c>
      <c r="K52">
        <v>927.12</v>
      </c>
      <c r="L52">
        <v>3</v>
      </c>
      <c r="M52">
        <v>0</v>
      </c>
      <c r="N52">
        <v>116.58</v>
      </c>
      <c r="O52" t="str">
        <f t="shared" si="0"/>
        <v>Apr-2025</v>
      </c>
    </row>
    <row r="53" spans="1:15" x14ac:dyDescent="0.25">
      <c r="A53" t="s">
        <v>172</v>
      </c>
      <c r="B53" s="2">
        <v>45882</v>
      </c>
      <c r="C53" s="2">
        <v>45888</v>
      </c>
      <c r="D53" t="s">
        <v>160</v>
      </c>
      <c r="E53" t="s">
        <v>17</v>
      </c>
      <c r="F53" t="s">
        <v>33</v>
      </c>
      <c r="G53" t="s">
        <v>34</v>
      </c>
      <c r="H53" t="s">
        <v>35</v>
      </c>
      <c r="I53" t="s">
        <v>29</v>
      </c>
      <c r="J53" t="s">
        <v>30</v>
      </c>
      <c r="K53">
        <v>318.3</v>
      </c>
      <c r="L53">
        <v>3</v>
      </c>
      <c r="M53">
        <v>0</v>
      </c>
      <c r="N53">
        <v>93.37</v>
      </c>
      <c r="O53" t="str">
        <f t="shared" si="0"/>
        <v>Aug-2025</v>
      </c>
    </row>
    <row r="54" spans="1:15" x14ac:dyDescent="0.25">
      <c r="A54" t="s">
        <v>173</v>
      </c>
      <c r="B54" s="2">
        <v>45912</v>
      </c>
      <c r="C54" s="2">
        <v>45917</v>
      </c>
      <c r="D54" t="s">
        <v>120</v>
      </c>
      <c r="E54" t="s">
        <v>25</v>
      </c>
      <c r="F54" t="s">
        <v>63</v>
      </c>
      <c r="G54" t="s">
        <v>149</v>
      </c>
      <c r="H54" t="s">
        <v>150</v>
      </c>
      <c r="I54" t="s">
        <v>29</v>
      </c>
      <c r="J54" t="s">
        <v>55</v>
      </c>
      <c r="K54">
        <v>1375.33</v>
      </c>
      <c r="L54">
        <v>4</v>
      </c>
      <c r="M54">
        <v>0.3</v>
      </c>
      <c r="N54">
        <v>284.38</v>
      </c>
      <c r="O54" t="str">
        <f t="shared" si="0"/>
        <v>Sep-2025</v>
      </c>
    </row>
    <row r="55" spans="1:15" x14ac:dyDescent="0.25">
      <c r="A55" t="s">
        <v>174</v>
      </c>
      <c r="B55" s="2">
        <v>45874</v>
      </c>
      <c r="C55" s="2">
        <v>45879</v>
      </c>
      <c r="D55" t="s">
        <v>175</v>
      </c>
      <c r="E55" t="s">
        <v>25</v>
      </c>
      <c r="F55" t="s">
        <v>33</v>
      </c>
      <c r="G55" t="s">
        <v>131</v>
      </c>
      <c r="H55" t="s">
        <v>132</v>
      </c>
      <c r="I55" t="s">
        <v>40</v>
      </c>
      <c r="J55" t="s">
        <v>176</v>
      </c>
      <c r="K55">
        <v>2.58</v>
      </c>
      <c r="L55">
        <v>2</v>
      </c>
      <c r="M55">
        <v>0.3</v>
      </c>
      <c r="N55">
        <v>0.28999999999999998</v>
      </c>
      <c r="O55" t="str">
        <f t="shared" si="0"/>
        <v>Aug-2025</v>
      </c>
    </row>
    <row r="56" spans="1:15" x14ac:dyDescent="0.25">
      <c r="A56" t="s">
        <v>177</v>
      </c>
      <c r="B56" s="2">
        <v>45469</v>
      </c>
      <c r="C56" s="2">
        <v>45474</v>
      </c>
      <c r="D56" t="s">
        <v>79</v>
      </c>
      <c r="E56" t="s">
        <v>17</v>
      </c>
      <c r="F56" t="s">
        <v>26</v>
      </c>
      <c r="G56" t="s">
        <v>75</v>
      </c>
      <c r="H56" t="s">
        <v>76</v>
      </c>
      <c r="I56" t="s">
        <v>21</v>
      </c>
      <c r="J56" t="s">
        <v>22</v>
      </c>
      <c r="K56">
        <v>102.43</v>
      </c>
      <c r="L56">
        <v>1</v>
      </c>
      <c r="M56">
        <v>0.1</v>
      </c>
      <c r="N56">
        <v>18.97</v>
      </c>
      <c r="O56" t="str">
        <f t="shared" si="0"/>
        <v>Jun-2024</v>
      </c>
    </row>
    <row r="57" spans="1:15" x14ac:dyDescent="0.25">
      <c r="A57" t="s">
        <v>178</v>
      </c>
      <c r="B57" s="2">
        <v>45581</v>
      </c>
      <c r="C57" s="2">
        <v>45587</v>
      </c>
      <c r="D57" t="s">
        <v>115</v>
      </c>
      <c r="E57" t="s">
        <v>80</v>
      </c>
      <c r="F57" t="s">
        <v>33</v>
      </c>
      <c r="G57" t="s">
        <v>141</v>
      </c>
      <c r="H57" t="s">
        <v>142</v>
      </c>
      <c r="I57" t="s">
        <v>29</v>
      </c>
      <c r="J57" t="s">
        <v>87</v>
      </c>
      <c r="K57">
        <v>1260.3</v>
      </c>
      <c r="L57">
        <v>2</v>
      </c>
      <c r="M57">
        <v>0.2</v>
      </c>
      <c r="N57">
        <v>-24.77</v>
      </c>
      <c r="O57" t="str">
        <f t="shared" si="0"/>
        <v>Oct-2024</v>
      </c>
    </row>
    <row r="58" spans="1:15" x14ac:dyDescent="0.25">
      <c r="A58" t="s">
        <v>179</v>
      </c>
      <c r="B58" s="2">
        <v>45849</v>
      </c>
      <c r="C58" s="2">
        <v>45851</v>
      </c>
      <c r="D58" t="s">
        <v>175</v>
      </c>
      <c r="E58" t="s">
        <v>17</v>
      </c>
      <c r="F58" t="s">
        <v>63</v>
      </c>
      <c r="G58" t="s">
        <v>106</v>
      </c>
      <c r="H58" t="s">
        <v>107</v>
      </c>
      <c r="I58" t="s">
        <v>21</v>
      </c>
      <c r="J58" t="s">
        <v>103</v>
      </c>
      <c r="K58">
        <v>6036.8</v>
      </c>
      <c r="L58">
        <v>5</v>
      </c>
      <c r="M58">
        <v>0.3</v>
      </c>
      <c r="N58">
        <v>559.44000000000005</v>
      </c>
      <c r="O58" t="str">
        <f t="shared" si="0"/>
        <v>Jul-2025</v>
      </c>
    </row>
    <row r="59" spans="1:15" x14ac:dyDescent="0.25">
      <c r="A59" t="s">
        <v>180</v>
      </c>
      <c r="B59" s="2">
        <v>45587</v>
      </c>
      <c r="C59" s="2">
        <v>45591</v>
      </c>
      <c r="D59" t="s">
        <v>50</v>
      </c>
      <c r="E59" t="s">
        <v>80</v>
      </c>
      <c r="F59" t="s">
        <v>18</v>
      </c>
      <c r="G59" t="s">
        <v>46</v>
      </c>
      <c r="H59" t="s">
        <v>47</v>
      </c>
      <c r="I59" t="s">
        <v>40</v>
      </c>
      <c r="J59" t="s">
        <v>176</v>
      </c>
      <c r="K59">
        <v>10.96</v>
      </c>
      <c r="L59">
        <v>5</v>
      </c>
      <c r="M59">
        <v>0.2</v>
      </c>
      <c r="N59">
        <v>1.87</v>
      </c>
      <c r="O59" t="str">
        <f t="shared" si="0"/>
        <v>Oct-2024</v>
      </c>
    </row>
    <row r="60" spans="1:15" x14ac:dyDescent="0.25">
      <c r="A60" t="s">
        <v>181</v>
      </c>
      <c r="B60" s="2">
        <v>45904</v>
      </c>
      <c r="C60" s="2">
        <v>45905</v>
      </c>
      <c r="D60" t="s">
        <v>182</v>
      </c>
      <c r="E60" t="s">
        <v>17</v>
      </c>
      <c r="F60" t="s">
        <v>63</v>
      </c>
      <c r="G60" t="s">
        <v>106</v>
      </c>
      <c r="H60" t="s">
        <v>107</v>
      </c>
      <c r="I60" t="s">
        <v>21</v>
      </c>
      <c r="J60" t="s">
        <v>123</v>
      </c>
      <c r="K60">
        <v>8221.2999999999993</v>
      </c>
      <c r="L60">
        <v>6</v>
      </c>
      <c r="M60">
        <v>0.15</v>
      </c>
      <c r="N60">
        <v>-143.47999999999999</v>
      </c>
      <c r="O60" t="str">
        <f t="shared" si="0"/>
        <v>Sep-2025</v>
      </c>
    </row>
    <row r="61" spans="1:15" x14ac:dyDescent="0.25">
      <c r="A61" t="s">
        <v>183</v>
      </c>
      <c r="B61" s="2">
        <v>45567</v>
      </c>
      <c r="C61" s="2">
        <v>45572</v>
      </c>
      <c r="D61" t="s">
        <v>184</v>
      </c>
      <c r="E61" t="s">
        <v>80</v>
      </c>
      <c r="F61" t="s">
        <v>18</v>
      </c>
      <c r="G61" t="s">
        <v>46</v>
      </c>
      <c r="H61" t="s">
        <v>47</v>
      </c>
      <c r="I61" t="s">
        <v>21</v>
      </c>
      <c r="J61" t="s">
        <v>22</v>
      </c>
      <c r="K61">
        <v>227.34</v>
      </c>
      <c r="L61">
        <v>3</v>
      </c>
      <c r="M61">
        <v>0.1</v>
      </c>
      <c r="N61">
        <v>46.76</v>
      </c>
      <c r="O61" t="str">
        <f t="shared" si="0"/>
        <v>Oct-2024</v>
      </c>
    </row>
    <row r="62" spans="1:15" x14ac:dyDescent="0.25">
      <c r="A62" t="s">
        <v>185</v>
      </c>
      <c r="B62" s="2">
        <v>45385</v>
      </c>
      <c r="C62" s="2">
        <v>45389</v>
      </c>
      <c r="D62" t="s">
        <v>186</v>
      </c>
      <c r="E62" t="s">
        <v>25</v>
      </c>
      <c r="F62" t="s">
        <v>33</v>
      </c>
      <c r="G62" t="s">
        <v>141</v>
      </c>
      <c r="H62" t="s">
        <v>142</v>
      </c>
      <c r="I62" t="s">
        <v>29</v>
      </c>
      <c r="J62" t="s">
        <v>30</v>
      </c>
      <c r="K62">
        <v>352.26</v>
      </c>
      <c r="L62">
        <v>6</v>
      </c>
      <c r="M62">
        <v>0</v>
      </c>
      <c r="N62">
        <v>88.43</v>
      </c>
      <c r="O62" t="str">
        <f t="shared" si="0"/>
        <v>Apr-2024</v>
      </c>
    </row>
    <row r="63" spans="1:15" x14ac:dyDescent="0.25">
      <c r="A63" t="s">
        <v>187</v>
      </c>
      <c r="B63" s="2">
        <v>45702</v>
      </c>
      <c r="C63" s="2">
        <v>45709</v>
      </c>
      <c r="D63" t="s">
        <v>115</v>
      </c>
      <c r="E63" t="s">
        <v>80</v>
      </c>
      <c r="F63" t="s">
        <v>26</v>
      </c>
      <c r="G63" t="s">
        <v>75</v>
      </c>
      <c r="H63" t="s">
        <v>76</v>
      </c>
      <c r="I63" t="s">
        <v>40</v>
      </c>
      <c r="J63" t="s">
        <v>109</v>
      </c>
      <c r="K63">
        <v>34.65</v>
      </c>
      <c r="L63">
        <v>1</v>
      </c>
      <c r="M63">
        <v>0.1</v>
      </c>
      <c r="N63">
        <v>2.65</v>
      </c>
      <c r="O63" t="str">
        <f t="shared" si="0"/>
        <v>Feb-2025</v>
      </c>
    </row>
    <row r="64" spans="1:15" x14ac:dyDescent="0.25">
      <c r="A64" t="s">
        <v>188</v>
      </c>
      <c r="B64" s="2">
        <v>45965</v>
      </c>
      <c r="C64" s="2">
        <v>45972</v>
      </c>
      <c r="D64" t="s">
        <v>189</v>
      </c>
      <c r="E64" t="s">
        <v>17</v>
      </c>
      <c r="F64" t="s">
        <v>63</v>
      </c>
      <c r="G64" t="s">
        <v>112</v>
      </c>
      <c r="H64" t="s">
        <v>113</v>
      </c>
      <c r="I64" t="s">
        <v>29</v>
      </c>
      <c r="J64" t="s">
        <v>30</v>
      </c>
      <c r="K64">
        <v>601.72</v>
      </c>
      <c r="L64">
        <v>7</v>
      </c>
      <c r="M64">
        <v>0</v>
      </c>
      <c r="N64">
        <v>63.95</v>
      </c>
      <c r="O64" t="str">
        <f t="shared" si="0"/>
        <v>Nov-2025</v>
      </c>
    </row>
    <row r="65" spans="1:15" x14ac:dyDescent="0.25">
      <c r="A65" t="s">
        <v>190</v>
      </c>
      <c r="B65" s="2">
        <v>45500</v>
      </c>
      <c r="C65" s="2">
        <v>45503</v>
      </c>
      <c r="D65" t="s">
        <v>184</v>
      </c>
      <c r="E65" t="s">
        <v>17</v>
      </c>
      <c r="F65" t="s">
        <v>63</v>
      </c>
      <c r="G65" t="s">
        <v>106</v>
      </c>
      <c r="H65" t="s">
        <v>107</v>
      </c>
      <c r="I65" t="s">
        <v>40</v>
      </c>
      <c r="J65" t="s">
        <v>109</v>
      </c>
      <c r="K65">
        <v>127.62</v>
      </c>
      <c r="L65">
        <v>5</v>
      </c>
      <c r="M65">
        <v>0.1</v>
      </c>
      <c r="N65">
        <v>40.11</v>
      </c>
      <c r="O65" t="str">
        <f t="shared" si="0"/>
        <v>Jul-2024</v>
      </c>
    </row>
    <row r="66" spans="1:15" x14ac:dyDescent="0.25">
      <c r="A66" t="s">
        <v>191</v>
      </c>
      <c r="B66" s="2">
        <v>45610</v>
      </c>
      <c r="C66" s="2">
        <v>45615</v>
      </c>
      <c r="D66" t="s">
        <v>192</v>
      </c>
      <c r="E66" t="s">
        <v>17</v>
      </c>
      <c r="F66" t="s">
        <v>33</v>
      </c>
      <c r="G66" t="s">
        <v>34</v>
      </c>
      <c r="H66" t="s">
        <v>35</v>
      </c>
      <c r="I66" t="s">
        <v>29</v>
      </c>
      <c r="J66" t="s">
        <v>87</v>
      </c>
      <c r="K66">
        <v>776.58</v>
      </c>
      <c r="L66">
        <v>7</v>
      </c>
      <c r="M66">
        <v>0</v>
      </c>
      <c r="N66">
        <v>-16.14</v>
      </c>
      <c r="O66" t="str">
        <f t="shared" ref="O66:O129" si="1">TEXT(B66,"mmm-yyyy")</f>
        <v>Nov-2024</v>
      </c>
    </row>
    <row r="67" spans="1:15" x14ac:dyDescent="0.25">
      <c r="A67" t="s">
        <v>193</v>
      </c>
      <c r="B67" s="2">
        <v>45590</v>
      </c>
      <c r="C67" s="2">
        <v>45595</v>
      </c>
      <c r="D67" t="s">
        <v>194</v>
      </c>
      <c r="E67" t="s">
        <v>80</v>
      </c>
      <c r="F67" t="s">
        <v>18</v>
      </c>
      <c r="G67" t="s">
        <v>58</v>
      </c>
      <c r="H67" t="s">
        <v>59</v>
      </c>
      <c r="I67" t="s">
        <v>29</v>
      </c>
      <c r="J67" t="s">
        <v>87</v>
      </c>
      <c r="K67">
        <v>3255.22</v>
      </c>
      <c r="L67">
        <v>7</v>
      </c>
      <c r="M67">
        <v>0.3</v>
      </c>
      <c r="N67">
        <v>41.42</v>
      </c>
      <c r="O67" t="str">
        <f t="shared" si="1"/>
        <v>Oct-2024</v>
      </c>
    </row>
    <row r="68" spans="1:15" x14ac:dyDescent="0.25">
      <c r="A68" t="s">
        <v>195</v>
      </c>
      <c r="B68" s="2">
        <v>45487</v>
      </c>
      <c r="C68" s="2">
        <v>45492</v>
      </c>
      <c r="D68" t="s">
        <v>117</v>
      </c>
      <c r="E68" t="s">
        <v>25</v>
      </c>
      <c r="F68" t="s">
        <v>33</v>
      </c>
      <c r="G68" t="s">
        <v>38</v>
      </c>
      <c r="H68" t="s">
        <v>39</v>
      </c>
      <c r="I68" t="s">
        <v>40</v>
      </c>
      <c r="J68" t="s">
        <v>176</v>
      </c>
      <c r="K68">
        <v>17.05</v>
      </c>
      <c r="L68">
        <v>3</v>
      </c>
      <c r="M68">
        <v>0.3</v>
      </c>
      <c r="N68">
        <v>1.21</v>
      </c>
      <c r="O68" t="str">
        <f t="shared" si="1"/>
        <v>Jul-2024</v>
      </c>
    </row>
    <row r="69" spans="1:15" x14ac:dyDescent="0.25">
      <c r="A69" t="s">
        <v>196</v>
      </c>
      <c r="B69" s="2">
        <v>45581</v>
      </c>
      <c r="C69" s="2">
        <v>45587</v>
      </c>
      <c r="D69" t="s">
        <v>197</v>
      </c>
      <c r="E69" t="s">
        <v>17</v>
      </c>
      <c r="F69" t="s">
        <v>33</v>
      </c>
      <c r="G69" t="s">
        <v>141</v>
      </c>
      <c r="H69" t="s">
        <v>142</v>
      </c>
      <c r="I69" t="s">
        <v>21</v>
      </c>
      <c r="J69" t="s">
        <v>60</v>
      </c>
      <c r="K69">
        <v>540.85</v>
      </c>
      <c r="L69">
        <v>8</v>
      </c>
      <c r="M69">
        <v>0.3</v>
      </c>
      <c r="N69">
        <v>51.15</v>
      </c>
      <c r="O69" t="str">
        <f t="shared" si="1"/>
        <v>Oct-2024</v>
      </c>
    </row>
    <row r="70" spans="1:15" x14ac:dyDescent="0.25">
      <c r="A70" t="s">
        <v>198</v>
      </c>
      <c r="B70" s="2">
        <v>45678</v>
      </c>
      <c r="C70" s="2">
        <v>45682</v>
      </c>
      <c r="D70" t="s">
        <v>184</v>
      </c>
      <c r="E70" t="s">
        <v>80</v>
      </c>
      <c r="F70" t="s">
        <v>33</v>
      </c>
      <c r="G70" t="s">
        <v>141</v>
      </c>
      <c r="H70" t="s">
        <v>142</v>
      </c>
      <c r="I70" t="s">
        <v>40</v>
      </c>
      <c r="J70" t="s">
        <v>176</v>
      </c>
      <c r="K70">
        <v>44.99</v>
      </c>
      <c r="L70">
        <v>4</v>
      </c>
      <c r="M70">
        <v>0.2</v>
      </c>
      <c r="N70">
        <v>5.47</v>
      </c>
      <c r="O70" t="str">
        <f t="shared" si="1"/>
        <v>Jan-2025</v>
      </c>
    </row>
    <row r="71" spans="1:15" x14ac:dyDescent="0.25">
      <c r="A71" t="s">
        <v>199</v>
      </c>
      <c r="B71" s="2">
        <v>45776</v>
      </c>
      <c r="C71" s="2">
        <v>45782</v>
      </c>
      <c r="D71" t="s">
        <v>200</v>
      </c>
      <c r="E71" t="s">
        <v>80</v>
      </c>
      <c r="F71" t="s">
        <v>33</v>
      </c>
      <c r="G71" t="s">
        <v>38</v>
      </c>
      <c r="H71" t="s">
        <v>39</v>
      </c>
      <c r="I71" t="s">
        <v>40</v>
      </c>
      <c r="J71" t="s">
        <v>48</v>
      </c>
      <c r="K71">
        <v>231.27</v>
      </c>
      <c r="L71">
        <v>7</v>
      </c>
      <c r="M71">
        <v>0.1</v>
      </c>
      <c r="N71">
        <v>80.14</v>
      </c>
      <c r="O71" t="str">
        <f t="shared" si="1"/>
        <v>Apr-2025</v>
      </c>
    </row>
    <row r="72" spans="1:15" x14ac:dyDescent="0.25">
      <c r="A72" t="s">
        <v>201</v>
      </c>
      <c r="B72" s="2">
        <v>45631</v>
      </c>
      <c r="C72" s="2">
        <v>45638</v>
      </c>
      <c r="D72" t="s">
        <v>74</v>
      </c>
      <c r="E72" t="s">
        <v>80</v>
      </c>
      <c r="F72" t="s">
        <v>26</v>
      </c>
      <c r="G72" t="s">
        <v>96</v>
      </c>
      <c r="H72" t="s">
        <v>97</v>
      </c>
      <c r="I72" t="s">
        <v>29</v>
      </c>
      <c r="J72" t="s">
        <v>87</v>
      </c>
      <c r="K72">
        <v>1442.32</v>
      </c>
      <c r="L72">
        <v>8</v>
      </c>
      <c r="M72">
        <v>0</v>
      </c>
      <c r="N72">
        <v>26.5</v>
      </c>
      <c r="O72" t="str">
        <f t="shared" si="1"/>
        <v>Dec-2024</v>
      </c>
    </row>
    <row r="73" spans="1:15" x14ac:dyDescent="0.25">
      <c r="A73" t="s">
        <v>202</v>
      </c>
      <c r="B73" s="2">
        <v>45450</v>
      </c>
      <c r="C73" s="2">
        <v>45451</v>
      </c>
      <c r="D73" t="s">
        <v>203</v>
      </c>
      <c r="E73" t="s">
        <v>80</v>
      </c>
      <c r="F73" t="s">
        <v>33</v>
      </c>
      <c r="G73" t="s">
        <v>34</v>
      </c>
      <c r="H73" t="s">
        <v>35</v>
      </c>
      <c r="I73" t="s">
        <v>21</v>
      </c>
      <c r="J73" t="s">
        <v>103</v>
      </c>
      <c r="K73">
        <v>6664.4</v>
      </c>
      <c r="L73">
        <v>5</v>
      </c>
      <c r="M73">
        <v>0</v>
      </c>
      <c r="N73">
        <v>1579.31</v>
      </c>
      <c r="O73" t="str">
        <f t="shared" si="1"/>
        <v>Jun-2024</v>
      </c>
    </row>
    <row r="74" spans="1:15" x14ac:dyDescent="0.25">
      <c r="A74" t="s">
        <v>204</v>
      </c>
      <c r="B74" s="2">
        <v>45933</v>
      </c>
      <c r="C74" s="2">
        <v>45939</v>
      </c>
      <c r="D74" t="s">
        <v>205</v>
      </c>
      <c r="E74" t="s">
        <v>25</v>
      </c>
      <c r="F74" t="s">
        <v>33</v>
      </c>
      <c r="G74" t="s">
        <v>34</v>
      </c>
      <c r="H74" t="s">
        <v>35</v>
      </c>
      <c r="I74" t="s">
        <v>40</v>
      </c>
      <c r="J74" t="s">
        <v>176</v>
      </c>
      <c r="K74">
        <v>75.150000000000006</v>
      </c>
      <c r="L74">
        <v>8</v>
      </c>
      <c r="M74">
        <v>0.3</v>
      </c>
      <c r="N74">
        <v>15.95</v>
      </c>
      <c r="O74" t="str">
        <f t="shared" si="1"/>
        <v>Oct-2025</v>
      </c>
    </row>
    <row r="75" spans="1:15" x14ac:dyDescent="0.25">
      <c r="A75" t="s">
        <v>206</v>
      </c>
      <c r="B75" s="2">
        <v>45384</v>
      </c>
      <c r="C75" s="2">
        <v>45388</v>
      </c>
      <c r="D75" t="s">
        <v>16</v>
      </c>
      <c r="E75" t="s">
        <v>80</v>
      </c>
      <c r="F75" t="s">
        <v>18</v>
      </c>
      <c r="G75" t="s">
        <v>46</v>
      </c>
      <c r="H75" t="s">
        <v>47</v>
      </c>
      <c r="I75" t="s">
        <v>21</v>
      </c>
      <c r="J75" t="s">
        <v>60</v>
      </c>
      <c r="K75">
        <v>528.70000000000005</v>
      </c>
      <c r="L75">
        <v>2</v>
      </c>
      <c r="M75">
        <v>0.1</v>
      </c>
      <c r="N75">
        <v>52.82</v>
      </c>
      <c r="O75" t="str">
        <f t="shared" si="1"/>
        <v>Apr-2024</v>
      </c>
    </row>
    <row r="76" spans="1:15" x14ac:dyDescent="0.25">
      <c r="A76" t="s">
        <v>207</v>
      </c>
      <c r="B76" s="2">
        <v>45592</v>
      </c>
      <c r="C76" s="2">
        <v>45595</v>
      </c>
      <c r="D76" t="s">
        <v>208</v>
      </c>
      <c r="E76" t="s">
        <v>17</v>
      </c>
      <c r="F76" t="s">
        <v>63</v>
      </c>
      <c r="G76" t="s">
        <v>149</v>
      </c>
      <c r="H76" t="s">
        <v>150</v>
      </c>
      <c r="I76" t="s">
        <v>29</v>
      </c>
      <c r="J76" t="s">
        <v>77</v>
      </c>
      <c r="K76">
        <v>731.04</v>
      </c>
      <c r="L76">
        <v>3</v>
      </c>
      <c r="M76">
        <v>0</v>
      </c>
      <c r="N76">
        <v>13.93</v>
      </c>
      <c r="O76" t="str">
        <f t="shared" si="1"/>
        <v>Oct-2024</v>
      </c>
    </row>
    <row r="77" spans="1:15" x14ac:dyDescent="0.25">
      <c r="A77" t="s">
        <v>209</v>
      </c>
      <c r="B77" s="2">
        <v>45926</v>
      </c>
      <c r="C77" s="2">
        <v>45932</v>
      </c>
      <c r="D77" t="s">
        <v>210</v>
      </c>
      <c r="E77" t="s">
        <v>25</v>
      </c>
      <c r="F77" t="s">
        <v>26</v>
      </c>
      <c r="G77" t="s">
        <v>90</v>
      </c>
      <c r="H77" t="s">
        <v>91</v>
      </c>
      <c r="I77" t="s">
        <v>29</v>
      </c>
      <c r="J77" t="s">
        <v>55</v>
      </c>
      <c r="K77">
        <v>615.69000000000005</v>
      </c>
      <c r="L77">
        <v>3</v>
      </c>
      <c r="M77">
        <v>0</v>
      </c>
      <c r="N77">
        <v>115.96</v>
      </c>
      <c r="O77" t="str">
        <f t="shared" si="1"/>
        <v>Sep-2025</v>
      </c>
    </row>
    <row r="78" spans="1:15" x14ac:dyDescent="0.25">
      <c r="A78" t="s">
        <v>211</v>
      </c>
      <c r="B78" s="2">
        <v>45586</v>
      </c>
      <c r="C78" s="2">
        <v>45592</v>
      </c>
      <c r="D78" t="s">
        <v>212</v>
      </c>
      <c r="E78" t="s">
        <v>25</v>
      </c>
      <c r="F78" t="s">
        <v>63</v>
      </c>
      <c r="G78" t="s">
        <v>64</v>
      </c>
      <c r="H78" t="s">
        <v>65</v>
      </c>
      <c r="I78" t="s">
        <v>40</v>
      </c>
      <c r="J78" t="s">
        <v>48</v>
      </c>
      <c r="K78">
        <v>40.99</v>
      </c>
      <c r="L78">
        <v>2</v>
      </c>
      <c r="M78">
        <v>0.1</v>
      </c>
      <c r="N78">
        <v>13.67</v>
      </c>
      <c r="O78" t="str">
        <f t="shared" si="1"/>
        <v>Oct-2024</v>
      </c>
    </row>
    <row r="79" spans="1:15" x14ac:dyDescent="0.25">
      <c r="A79" t="s">
        <v>213</v>
      </c>
      <c r="B79" s="2">
        <v>45495</v>
      </c>
      <c r="C79" s="2">
        <v>45499</v>
      </c>
      <c r="D79" t="s">
        <v>214</v>
      </c>
      <c r="E79" t="s">
        <v>25</v>
      </c>
      <c r="F79" t="s">
        <v>63</v>
      </c>
      <c r="G79" t="s">
        <v>64</v>
      </c>
      <c r="H79" t="s">
        <v>65</v>
      </c>
      <c r="I79" t="s">
        <v>21</v>
      </c>
      <c r="J79" t="s">
        <v>60</v>
      </c>
      <c r="K79">
        <v>514.94000000000005</v>
      </c>
      <c r="L79">
        <v>2</v>
      </c>
      <c r="M79">
        <v>0</v>
      </c>
      <c r="N79">
        <v>84.66</v>
      </c>
      <c r="O79" t="str">
        <f t="shared" si="1"/>
        <v>Jul-2024</v>
      </c>
    </row>
    <row r="80" spans="1:15" x14ac:dyDescent="0.25">
      <c r="A80" t="s">
        <v>215</v>
      </c>
      <c r="B80" s="2">
        <v>45697</v>
      </c>
      <c r="C80" s="2">
        <v>45700</v>
      </c>
      <c r="D80" t="s">
        <v>140</v>
      </c>
      <c r="E80" t="s">
        <v>80</v>
      </c>
      <c r="F80" t="s">
        <v>63</v>
      </c>
      <c r="G80" t="s">
        <v>106</v>
      </c>
      <c r="H80" t="s">
        <v>107</v>
      </c>
      <c r="I80" t="s">
        <v>40</v>
      </c>
      <c r="J80" t="s">
        <v>98</v>
      </c>
      <c r="K80">
        <v>9.81</v>
      </c>
      <c r="L80">
        <v>1</v>
      </c>
      <c r="M80">
        <v>0.15</v>
      </c>
      <c r="N80">
        <v>2.68</v>
      </c>
      <c r="O80" t="str">
        <f t="shared" si="1"/>
        <v>Feb-2025</v>
      </c>
    </row>
    <row r="81" spans="1:15" x14ac:dyDescent="0.25">
      <c r="A81" t="s">
        <v>216</v>
      </c>
      <c r="B81" s="2">
        <v>45486</v>
      </c>
      <c r="C81" s="2">
        <v>45491</v>
      </c>
      <c r="D81" t="s">
        <v>93</v>
      </c>
      <c r="E81" t="s">
        <v>80</v>
      </c>
      <c r="F81" t="s">
        <v>63</v>
      </c>
      <c r="G81" t="s">
        <v>67</v>
      </c>
      <c r="H81" t="s">
        <v>68</v>
      </c>
      <c r="I81" t="s">
        <v>21</v>
      </c>
      <c r="J81" t="s">
        <v>60</v>
      </c>
      <c r="K81">
        <v>198.43</v>
      </c>
      <c r="L81">
        <v>3</v>
      </c>
      <c r="M81">
        <v>0.2</v>
      </c>
      <c r="N81">
        <v>15.71</v>
      </c>
      <c r="O81" t="str">
        <f t="shared" si="1"/>
        <v>Jul-2024</v>
      </c>
    </row>
    <row r="82" spans="1:15" x14ac:dyDescent="0.25">
      <c r="A82" t="s">
        <v>217</v>
      </c>
      <c r="B82" s="2">
        <v>45426</v>
      </c>
      <c r="C82" s="2">
        <v>45427</v>
      </c>
      <c r="D82" t="s">
        <v>84</v>
      </c>
      <c r="E82" t="s">
        <v>25</v>
      </c>
      <c r="F82" t="s">
        <v>18</v>
      </c>
      <c r="G82" t="s">
        <v>81</v>
      </c>
      <c r="H82" t="s">
        <v>82</v>
      </c>
      <c r="I82" t="s">
        <v>40</v>
      </c>
      <c r="J82" t="s">
        <v>48</v>
      </c>
      <c r="K82">
        <v>175.54</v>
      </c>
      <c r="L82">
        <v>6</v>
      </c>
      <c r="M82">
        <v>0.2</v>
      </c>
      <c r="N82">
        <v>30.66</v>
      </c>
      <c r="O82" t="str">
        <f t="shared" si="1"/>
        <v>May-2024</v>
      </c>
    </row>
    <row r="83" spans="1:15" x14ac:dyDescent="0.25">
      <c r="A83" t="s">
        <v>218</v>
      </c>
      <c r="B83" s="2">
        <v>45571</v>
      </c>
      <c r="C83" s="2">
        <v>45578</v>
      </c>
      <c r="D83" t="s">
        <v>219</v>
      </c>
      <c r="E83" t="s">
        <v>80</v>
      </c>
      <c r="F83" t="s">
        <v>26</v>
      </c>
      <c r="G83" t="s">
        <v>90</v>
      </c>
      <c r="H83" t="s">
        <v>91</v>
      </c>
      <c r="I83" t="s">
        <v>21</v>
      </c>
      <c r="J83" t="s">
        <v>60</v>
      </c>
      <c r="K83">
        <v>323.23</v>
      </c>
      <c r="L83">
        <v>8</v>
      </c>
      <c r="M83">
        <v>0.3</v>
      </c>
      <c r="N83">
        <v>44.78</v>
      </c>
      <c r="O83" t="str">
        <f t="shared" si="1"/>
        <v>Oct-2024</v>
      </c>
    </row>
    <row r="84" spans="1:15" x14ac:dyDescent="0.25">
      <c r="A84" t="s">
        <v>220</v>
      </c>
      <c r="B84" s="2">
        <v>45984</v>
      </c>
      <c r="C84" s="2">
        <v>45990</v>
      </c>
      <c r="D84" t="s">
        <v>117</v>
      </c>
      <c r="E84" t="s">
        <v>17</v>
      </c>
      <c r="F84" t="s">
        <v>63</v>
      </c>
      <c r="G84" t="s">
        <v>149</v>
      </c>
      <c r="H84" t="s">
        <v>150</v>
      </c>
      <c r="I84" t="s">
        <v>40</v>
      </c>
      <c r="J84" t="s">
        <v>48</v>
      </c>
      <c r="K84">
        <v>135.38999999999999</v>
      </c>
      <c r="L84">
        <v>7</v>
      </c>
      <c r="M84">
        <v>0.3</v>
      </c>
      <c r="N84">
        <v>39.450000000000003</v>
      </c>
      <c r="O84" t="str">
        <f t="shared" si="1"/>
        <v>Nov-2025</v>
      </c>
    </row>
    <row r="85" spans="1:15" x14ac:dyDescent="0.25">
      <c r="A85" t="s">
        <v>221</v>
      </c>
      <c r="B85" s="2">
        <v>45418</v>
      </c>
      <c r="C85" s="2">
        <v>45422</v>
      </c>
      <c r="D85" t="s">
        <v>57</v>
      </c>
      <c r="E85" t="s">
        <v>80</v>
      </c>
      <c r="F85" t="s">
        <v>63</v>
      </c>
      <c r="G85" t="s">
        <v>149</v>
      </c>
      <c r="H85" t="s">
        <v>150</v>
      </c>
      <c r="I85" t="s">
        <v>40</v>
      </c>
      <c r="J85" t="s">
        <v>48</v>
      </c>
      <c r="K85">
        <v>68.040000000000006</v>
      </c>
      <c r="L85">
        <v>5</v>
      </c>
      <c r="M85">
        <v>0.15</v>
      </c>
      <c r="N85">
        <v>11.18</v>
      </c>
      <c r="O85" t="str">
        <f t="shared" si="1"/>
        <v>May-2024</v>
      </c>
    </row>
    <row r="86" spans="1:15" x14ac:dyDescent="0.25">
      <c r="A86" t="s">
        <v>222</v>
      </c>
      <c r="B86" s="2">
        <v>45926</v>
      </c>
      <c r="C86" s="2">
        <v>45931</v>
      </c>
      <c r="D86" t="s">
        <v>223</v>
      </c>
      <c r="E86" t="s">
        <v>17</v>
      </c>
      <c r="F86" t="s">
        <v>63</v>
      </c>
      <c r="G86" t="s">
        <v>149</v>
      </c>
      <c r="H86" t="s">
        <v>150</v>
      </c>
      <c r="I86" t="s">
        <v>21</v>
      </c>
      <c r="J86" t="s">
        <v>103</v>
      </c>
      <c r="K86">
        <v>3269.15</v>
      </c>
      <c r="L86">
        <v>4</v>
      </c>
      <c r="M86">
        <v>0.2</v>
      </c>
      <c r="N86">
        <v>225.46</v>
      </c>
      <c r="O86" t="str">
        <f t="shared" si="1"/>
        <v>Sep-2025</v>
      </c>
    </row>
    <row r="87" spans="1:15" x14ac:dyDescent="0.25">
      <c r="A87" t="s">
        <v>224</v>
      </c>
      <c r="B87" s="2">
        <v>45338</v>
      </c>
      <c r="C87" s="2">
        <v>45339</v>
      </c>
      <c r="D87" t="s">
        <v>225</v>
      </c>
      <c r="E87" t="s">
        <v>17</v>
      </c>
      <c r="F87" t="s">
        <v>33</v>
      </c>
      <c r="G87" t="s">
        <v>141</v>
      </c>
      <c r="H87" t="s">
        <v>142</v>
      </c>
      <c r="I87" t="s">
        <v>21</v>
      </c>
      <c r="J87" t="s">
        <v>123</v>
      </c>
      <c r="K87">
        <v>4939.3599999999997</v>
      </c>
      <c r="L87">
        <v>8</v>
      </c>
      <c r="M87">
        <v>0</v>
      </c>
      <c r="N87">
        <v>-184.56</v>
      </c>
      <c r="O87" t="str">
        <f t="shared" si="1"/>
        <v>Feb-2024</v>
      </c>
    </row>
    <row r="88" spans="1:15" x14ac:dyDescent="0.25">
      <c r="A88" t="s">
        <v>226</v>
      </c>
      <c r="B88" s="2">
        <v>46005</v>
      </c>
      <c r="C88" s="2">
        <v>46010</v>
      </c>
      <c r="D88" t="s">
        <v>86</v>
      </c>
      <c r="E88" t="s">
        <v>80</v>
      </c>
      <c r="F88" t="s">
        <v>26</v>
      </c>
      <c r="G88" t="s">
        <v>96</v>
      </c>
      <c r="H88" t="s">
        <v>97</v>
      </c>
      <c r="I88" t="s">
        <v>40</v>
      </c>
      <c r="J88" t="s">
        <v>98</v>
      </c>
      <c r="K88">
        <v>242</v>
      </c>
      <c r="L88">
        <v>3</v>
      </c>
      <c r="M88">
        <v>0.1</v>
      </c>
      <c r="N88">
        <v>59.65</v>
      </c>
      <c r="O88" t="str">
        <f t="shared" si="1"/>
        <v>Dec-2025</v>
      </c>
    </row>
    <row r="89" spans="1:15" x14ac:dyDescent="0.25">
      <c r="A89" t="s">
        <v>227</v>
      </c>
      <c r="B89" s="2">
        <v>45671</v>
      </c>
      <c r="C89" s="2">
        <v>45673</v>
      </c>
      <c r="D89" t="s">
        <v>100</v>
      </c>
      <c r="E89" t="s">
        <v>80</v>
      </c>
      <c r="F89" t="s">
        <v>33</v>
      </c>
      <c r="G89" t="s">
        <v>165</v>
      </c>
      <c r="H89" t="s">
        <v>166</v>
      </c>
      <c r="I89" t="s">
        <v>40</v>
      </c>
      <c r="J89" t="s">
        <v>98</v>
      </c>
      <c r="K89">
        <v>263.87</v>
      </c>
      <c r="L89">
        <v>4</v>
      </c>
      <c r="M89">
        <v>0.3</v>
      </c>
      <c r="N89">
        <v>41.9</v>
      </c>
      <c r="O89" t="str">
        <f t="shared" si="1"/>
        <v>Jan-2025</v>
      </c>
    </row>
    <row r="90" spans="1:15" x14ac:dyDescent="0.25">
      <c r="A90" t="s">
        <v>228</v>
      </c>
      <c r="B90" s="2">
        <v>45574</v>
      </c>
      <c r="C90" s="2">
        <v>45576</v>
      </c>
      <c r="D90" t="s">
        <v>32</v>
      </c>
      <c r="E90" t="s">
        <v>25</v>
      </c>
      <c r="F90" t="s">
        <v>63</v>
      </c>
      <c r="G90" t="s">
        <v>106</v>
      </c>
      <c r="H90" t="s">
        <v>107</v>
      </c>
      <c r="I90" t="s">
        <v>21</v>
      </c>
      <c r="J90" t="s">
        <v>60</v>
      </c>
      <c r="K90">
        <v>2326.2399999999998</v>
      </c>
      <c r="L90">
        <v>8</v>
      </c>
      <c r="M90">
        <v>0</v>
      </c>
      <c r="N90">
        <v>578.84</v>
      </c>
      <c r="O90" t="str">
        <f t="shared" si="1"/>
        <v>Oct-2024</v>
      </c>
    </row>
    <row r="91" spans="1:15" x14ac:dyDescent="0.25">
      <c r="A91" t="s">
        <v>229</v>
      </c>
      <c r="B91" s="2">
        <v>45502</v>
      </c>
      <c r="C91" s="2">
        <v>45503</v>
      </c>
      <c r="D91" t="s">
        <v>230</v>
      </c>
      <c r="E91" t="s">
        <v>80</v>
      </c>
      <c r="F91" t="s">
        <v>18</v>
      </c>
      <c r="G91" t="s">
        <v>19</v>
      </c>
      <c r="H91" t="s">
        <v>20</v>
      </c>
      <c r="I91" t="s">
        <v>40</v>
      </c>
      <c r="J91" t="s">
        <v>41</v>
      </c>
      <c r="K91">
        <v>71.709999999999994</v>
      </c>
      <c r="L91">
        <v>4</v>
      </c>
      <c r="M91">
        <v>0.15</v>
      </c>
      <c r="N91">
        <v>8.23</v>
      </c>
      <c r="O91" t="str">
        <f t="shared" si="1"/>
        <v>Jul-2024</v>
      </c>
    </row>
    <row r="92" spans="1:15" x14ac:dyDescent="0.25">
      <c r="A92" t="s">
        <v>231</v>
      </c>
      <c r="B92" s="2">
        <v>45425</v>
      </c>
      <c r="C92" s="2">
        <v>45430</v>
      </c>
      <c r="D92" t="s">
        <v>37</v>
      </c>
      <c r="E92" t="s">
        <v>17</v>
      </c>
      <c r="F92" t="s">
        <v>26</v>
      </c>
      <c r="G92" t="s">
        <v>75</v>
      </c>
      <c r="H92" t="s">
        <v>76</v>
      </c>
      <c r="I92" t="s">
        <v>29</v>
      </c>
      <c r="J92" t="s">
        <v>55</v>
      </c>
      <c r="K92">
        <v>631.02</v>
      </c>
      <c r="L92">
        <v>3</v>
      </c>
      <c r="M92">
        <v>0</v>
      </c>
      <c r="N92">
        <v>156.69</v>
      </c>
      <c r="O92" t="str">
        <f t="shared" si="1"/>
        <v>May-2024</v>
      </c>
    </row>
    <row r="93" spans="1:15" x14ac:dyDescent="0.25">
      <c r="A93" t="s">
        <v>232</v>
      </c>
      <c r="B93" s="2">
        <v>45894</v>
      </c>
      <c r="C93" s="2">
        <v>45897</v>
      </c>
      <c r="D93" t="s">
        <v>208</v>
      </c>
      <c r="E93" t="s">
        <v>17</v>
      </c>
      <c r="F93" t="s">
        <v>18</v>
      </c>
      <c r="G93" t="s">
        <v>46</v>
      </c>
      <c r="H93" t="s">
        <v>47</v>
      </c>
      <c r="I93" t="s">
        <v>29</v>
      </c>
      <c r="J93" t="s">
        <v>77</v>
      </c>
      <c r="K93">
        <v>482.35</v>
      </c>
      <c r="L93">
        <v>5</v>
      </c>
      <c r="M93">
        <v>0</v>
      </c>
      <c r="N93">
        <v>-16.170000000000002</v>
      </c>
      <c r="O93" t="str">
        <f t="shared" si="1"/>
        <v>Aug-2025</v>
      </c>
    </row>
    <row r="94" spans="1:15" x14ac:dyDescent="0.25">
      <c r="A94" t="s">
        <v>233</v>
      </c>
      <c r="B94" s="2">
        <v>45662</v>
      </c>
      <c r="C94" s="2">
        <v>45667</v>
      </c>
      <c r="D94" t="s">
        <v>223</v>
      </c>
      <c r="E94" t="s">
        <v>25</v>
      </c>
      <c r="F94" t="s">
        <v>33</v>
      </c>
      <c r="G94" t="s">
        <v>165</v>
      </c>
      <c r="H94" t="s">
        <v>166</v>
      </c>
      <c r="I94" t="s">
        <v>29</v>
      </c>
      <c r="J94" t="s">
        <v>55</v>
      </c>
      <c r="K94">
        <v>2643.23</v>
      </c>
      <c r="L94">
        <v>8</v>
      </c>
      <c r="M94">
        <v>0.15</v>
      </c>
      <c r="N94">
        <v>307.83999999999997</v>
      </c>
      <c r="O94" t="str">
        <f t="shared" si="1"/>
        <v>Jan-2025</v>
      </c>
    </row>
    <row r="95" spans="1:15" x14ac:dyDescent="0.25">
      <c r="A95" t="s">
        <v>234</v>
      </c>
      <c r="B95" s="2">
        <v>45354</v>
      </c>
      <c r="C95" s="2">
        <v>45358</v>
      </c>
      <c r="D95" t="s">
        <v>235</v>
      </c>
      <c r="E95" t="s">
        <v>17</v>
      </c>
      <c r="F95" t="s">
        <v>18</v>
      </c>
      <c r="G95" t="s">
        <v>71</v>
      </c>
      <c r="H95" t="s">
        <v>72</v>
      </c>
      <c r="I95" t="s">
        <v>40</v>
      </c>
      <c r="J95" t="s">
        <v>109</v>
      </c>
      <c r="K95">
        <v>238.95</v>
      </c>
      <c r="L95">
        <v>7</v>
      </c>
      <c r="M95">
        <v>0.2</v>
      </c>
      <c r="N95">
        <v>19.690000000000001</v>
      </c>
      <c r="O95" t="str">
        <f t="shared" si="1"/>
        <v>Mar-2024</v>
      </c>
    </row>
    <row r="96" spans="1:15" x14ac:dyDescent="0.25">
      <c r="A96" t="s">
        <v>236</v>
      </c>
      <c r="B96" s="2">
        <v>45359</v>
      </c>
      <c r="C96" s="2">
        <v>45361</v>
      </c>
      <c r="D96" t="s">
        <v>237</v>
      </c>
      <c r="E96" t="s">
        <v>17</v>
      </c>
      <c r="F96" t="s">
        <v>33</v>
      </c>
      <c r="G96" t="s">
        <v>34</v>
      </c>
      <c r="H96" t="s">
        <v>35</v>
      </c>
      <c r="I96" t="s">
        <v>29</v>
      </c>
      <c r="J96" t="s">
        <v>77</v>
      </c>
      <c r="K96">
        <v>1094.9000000000001</v>
      </c>
      <c r="L96">
        <v>6</v>
      </c>
      <c r="M96">
        <v>0.1</v>
      </c>
      <c r="N96">
        <v>86.83</v>
      </c>
      <c r="O96" t="str">
        <f t="shared" si="1"/>
        <v>Mar-2024</v>
      </c>
    </row>
    <row r="97" spans="1:15" x14ac:dyDescent="0.25">
      <c r="A97" t="s">
        <v>238</v>
      </c>
      <c r="B97" s="2">
        <v>45409</v>
      </c>
      <c r="C97" s="2">
        <v>45416</v>
      </c>
      <c r="D97" t="s">
        <v>239</v>
      </c>
      <c r="E97" t="s">
        <v>80</v>
      </c>
      <c r="F97" t="s">
        <v>63</v>
      </c>
      <c r="G97" t="s">
        <v>64</v>
      </c>
      <c r="H97" t="s">
        <v>65</v>
      </c>
      <c r="I97" t="s">
        <v>21</v>
      </c>
      <c r="J97" t="s">
        <v>123</v>
      </c>
      <c r="K97">
        <v>4366.84</v>
      </c>
      <c r="L97">
        <v>4</v>
      </c>
      <c r="M97">
        <v>0.1</v>
      </c>
      <c r="N97">
        <v>38</v>
      </c>
      <c r="O97" t="str">
        <f t="shared" si="1"/>
        <v>Apr-2024</v>
      </c>
    </row>
    <row r="98" spans="1:15" x14ac:dyDescent="0.25">
      <c r="A98" t="s">
        <v>240</v>
      </c>
      <c r="B98" s="2">
        <v>45389</v>
      </c>
      <c r="C98" s="2">
        <v>45392</v>
      </c>
      <c r="D98" t="s">
        <v>241</v>
      </c>
      <c r="E98" t="s">
        <v>25</v>
      </c>
      <c r="F98" t="s">
        <v>26</v>
      </c>
      <c r="G98" t="s">
        <v>96</v>
      </c>
      <c r="H98" t="s">
        <v>97</v>
      </c>
      <c r="I98" t="s">
        <v>40</v>
      </c>
      <c r="J98" t="s">
        <v>109</v>
      </c>
      <c r="K98">
        <v>112.4</v>
      </c>
      <c r="L98">
        <v>5</v>
      </c>
      <c r="M98">
        <v>0</v>
      </c>
      <c r="N98">
        <v>37.78</v>
      </c>
      <c r="O98" t="str">
        <f t="shared" si="1"/>
        <v>Apr-2024</v>
      </c>
    </row>
    <row r="99" spans="1:15" x14ac:dyDescent="0.25">
      <c r="A99" t="s">
        <v>242</v>
      </c>
      <c r="B99" s="2">
        <v>45390</v>
      </c>
      <c r="C99" s="2">
        <v>45396</v>
      </c>
      <c r="D99" t="s">
        <v>43</v>
      </c>
      <c r="E99" t="s">
        <v>25</v>
      </c>
      <c r="F99" t="s">
        <v>33</v>
      </c>
      <c r="G99" t="s">
        <v>34</v>
      </c>
      <c r="H99" t="s">
        <v>35</v>
      </c>
      <c r="I99" t="s">
        <v>29</v>
      </c>
      <c r="J99" t="s">
        <v>55</v>
      </c>
      <c r="K99">
        <v>1183.6300000000001</v>
      </c>
      <c r="L99">
        <v>3</v>
      </c>
      <c r="M99">
        <v>0.15</v>
      </c>
      <c r="N99">
        <v>80.48</v>
      </c>
      <c r="O99" t="str">
        <f t="shared" si="1"/>
        <v>Apr-2024</v>
      </c>
    </row>
    <row r="100" spans="1:15" x14ac:dyDescent="0.25">
      <c r="A100" t="s">
        <v>243</v>
      </c>
      <c r="B100" s="2">
        <v>45344</v>
      </c>
      <c r="C100" s="2">
        <v>45347</v>
      </c>
      <c r="D100" t="s">
        <v>86</v>
      </c>
      <c r="E100" t="s">
        <v>25</v>
      </c>
      <c r="F100" t="s">
        <v>63</v>
      </c>
      <c r="G100" t="s">
        <v>149</v>
      </c>
      <c r="H100" t="s">
        <v>150</v>
      </c>
      <c r="I100" t="s">
        <v>40</v>
      </c>
      <c r="J100" t="s">
        <v>98</v>
      </c>
      <c r="K100">
        <v>744.48</v>
      </c>
      <c r="L100">
        <v>6</v>
      </c>
      <c r="M100">
        <v>0</v>
      </c>
      <c r="N100">
        <v>166.3</v>
      </c>
      <c r="O100" t="str">
        <f t="shared" si="1"/>
        <v>Feb-2024</v>
      </c>
    </row>
    <row r="101" spans="1:15" x14ac:dyDescent="0.25">
      <c r="A101" t="s">
        <v>244</v>
      </c>
      <c r="B101" s="2">
        <v>45650</v>
      </c>
      <c r="C101" s="2">
        <v>45657</v>
      </c>
      <c r="D101" t="s">
        <v>93</v>
      </c>
      <c r="E101" t="s">
        <v>17</v>
      </c>
      <c r="F101" t="s">
        <v>26</v>
      </c>
      <c r="G101" t="s">
        <v>90</v>
      </c>
      <c r="H101" t="s">
        <v>91</v>
      </c>
      <c r="I101" t="s">
        <v>21</v>
      </c>
      <c r="J101" t="s">
        <v>123</v>
      </c>
      <c r="K101">
        <v>1463.91</v>
      </c>
      <c r="L101">
        <v>2</v>
      </c>
      <c r="M101">
        <v>0.3</v>
      </c>
      <c r="N101">
        <v>-20.18</v>
      </c>
      <c r="O101" t="str">
        <f t="shared" si="1"/>
        <v>Dec-2024</v>
      </c>
    </row>
    <row r="102" spans="1:15" x14ac:dyDescent="0.25">
      <c r="A102" t="s">
        <v>245</v>
      </c>
      <c r="B102" s="2">
        <v>46002</v>
      </c>
      <c r="C102" s="2">
        <v>46005</v>
      </c>
      <c r="D102" t="s">
        <v>237</v>
      </c>
      <c r="E102" t="s">
        <v>80</v>
      </c>
      <c r="F102" t="s">
        <v>26</v>
      </c>
      <c r="G102" t="s">
        <v>96</v>
      </c>
      <c r="H102" t="s">
        <v>97</v>
      </c>
      <c r="I102" t="s">
        <v>21</v>
      </c>
      <c r="J102" t="s">
        <v>22</v>
      </c>
      <c r="K102">
        <v>298.44</v>
      </c>
      <c r="L102">
        <v>5</v>
      </c>
      <c r="M102">
        <v>0.2</v>
      </c>
      <c r="N102">
        <v>83.18</v>
      </c>
      <c r="O102" t="str">
        <f t="shared" si="1"/>
        <v>Dec-2025</v>
      </c>
    </row>
    <row r="103" spans="1:15" x14ac:dyDescent="0.25">
      <c r="A103" t="s">
        <v>246</v>
      </c>
      <c r="B103" s="2">
        <v>45965</v>
      </c>
      <c r="C103" s="2">
        <v>45969</v>
      </c>
      <c r="D103" t="s">
        <v>117</v>
      </c>
      <c r="E103" t="s">
        <v>80</v>
      </c>
      <c r="F103" t="s">
        <v>63</v>
      </c>
      <c r="G103" t="s">
        <v>112</v>
      </c>
      <c r="H103" t="s">
        <v>113</v>
      </c>
      <c r="I103" t="s">
        <v>29</v>
      </c>
      <c r="J103" t="s">
        <v>87</v>
      </c>
      <c r="K103">
        <v>155.66999999999999</v>
      </c>
      <c r="L103">
        <v>1</v>
      </c>
      <c r="M103">
        <v>0</v>
      </c>
      <c r="N103">
        <v>7.32</v>
      </c>
      <c r="O103" t="str">
        <f t="shared" si="1"/>
        <v>Nov-2025</v>
      </c>
    </row>
    <row r="104" spans="1:15" x14ac:dyDescent="0.25">
      <c r="A104" t="s">
        <v>247</v>
      </c>
      <c r="B104" s="2">
        <v>45670</v>
      </c>
      <c r="C104" s="2">
        <v>45673</v>
      </c>
      <c r="D104" t="s">
        <v>134</v>
      </c>
      <c r="E104" t="s">
        <v>17</v>
      </c>
      <c r="F104" t="s">
        <v>26</v>
      </c>
      <c r="G104" t="s">
        <v>96</v>
      </c>
      <c r="H104" t="s">
        <v>97</v>
      </c>
      <c r="I104" t="s">
        <v>40</v>
      </c>
      <c r="J104" t="s">
        <v>109</v>
      </c>
      <c r="K104">
        <v>73.28</v>
      </c>
      <c r="L104">
        <v>2</v>
      </c>
      <c r="M104">
        <v>0</v>
      </c>
      <c r="N104">
        <v>7.08</v>
      </c>
      <c r="O104" t="str">
        <f t="shared" si="1"/>
        <v>Jan-2025</v>
      </c>
    </row>
    <row r="105" spans="1:15" x14ac:dyDescent="0.25">
      <c r="A105" t="s">
        <v>248</v>
      </c>
      <c r="B105" s="2">
        <v>45789</v>
      </c>
      <c r="C105" s="2">
        <v>45794</v>
      </c>
      <c r="D105" t="s">
        <v>249</v>
      </c>
      <c r="E105" t="s">
        <v>25</v>
      </c>
      <c r="F105" t="s">
        <v>18</v>
      </c>
      <c r="G105" t="s">
        <v>19</v>
      </c>
      <c r="H105" t="s">
        <v>20</v>
      </c>
      <c r="I105" t="s">
        <v>40</v>
      </c>
      <c r="J105" t="s">
        <v>109</v>
      </c>
      <c r="K105">
        <v>116.1</v>
      </c>
      <c r="L105">
        <v>5</v>
      </c>
      <c r="M105">
        <v>0</v>
      </c>
      <c r="N105">
        <v>32.1</v>
      </c>
      <c r="O105" t="str">
        <f t="shared" si="1"/>
        <v>May-2025</v>
      </c>
    </row>
    <row r="106" spans="1:15" x14ac:dyDescent="0.25">
      <c r="A106" t="s">
        <v>250</v>
      </c>
      <c r="B106" s="2">
        <v>45986</v>
      </c>
      <c r="C106" s="2">
        <v>45991</v>
      </c>
      <c r="D106" t="s">
        <v>115</v>
      </c>
      <c r="E106" t="s">
        <v>80</v>
      </c>
      <c r="F106" t="s">
        <v>18</v>
      </c>
      <c r="G106" t="s">
        <v>81</v>
      </c>
      <c r="H106" t="s">
        <v>82</v>
      </c>
      <c r="I106" t="s">
        <v>40</v>
      </c>
      <c r="J106" t="s">
        <v>48</v>
      </c>
      <c r="K106">
        <v>102.45</v>
      </c>
      <c r="L106">
        <v>5</v>
      </c>
      <c r="M106">
        <v>0</v>
      </c>
      <c r="N106">
        <v>11.9</v>
      </c>
      <c r="O106" t="str">
        <f t="shared" si="1"/>
        <v>Nov-2025</v>
      </c>
    </row>
    <row r="107" spans="1:15" x14ac:dyDescent="0.25">
      <c r="A107" t="s">
        <v>251</v>
      </c>
      <c r="B107" s="2">
        <v>45553</v>
      </c>
      <c r="C107" s="2">
        <v>45556</v>
      </c>
      <c r="D107" t="s">
        <v>252</v>
      </c>
      <c r="E107" t="s">
        <v>17</v>
      </c>
      <c r="F107" t="s">
        <v>18</v>
      </c>
      <c r="G107" t="s">
        <v>19</v>
      </c>
      <c r="H107" t="s">
        <v>20</v>
      </c>
      <c r="I107" t="s">
        <v>29</v>
      </c>
      <c r="J107" t="s">
        <v>77</v>
      </c>
      <c r="K107">
        <v>202.08</v>
      </c>
      <c r="L107">
        <v>1</v>
      </c>
      <c r="M107">
        <v>0.1</v>
      </c>
      <c r="N107">
        <v>9.52</v>
      </c>
      <c r="O107" t="str">
        <f t="shared" si="1"/>
        <v>Sep-2024</v>
      </c>
    </row>
    <row r="108" spans="1:15" x14ac:dyDescent="0.25">
      <c r="A108" t="s">
        <v>253</v>
      </c>
      <c r="B108" s="2">
        <v>45804</v>
      </c>
      <c r="C108" s="2">
        <v>45809</v>
      </c>
      <c r="D108" t="s">
        <v>192</v>
      </c>
      <c r="E108" t="s">
        <v>17</v>
      </c>
      <c r="F108" t="s">
        <v>26</v>
      </c>
      <c r="G108" t="s">
        <v>90</v>
      </c>
      <c r="H108" t="s">
        <v>91</v>
      </c>
      <c r="I108" t="s">
        <v>40</v>
      </c>
      <c r="J108" t="s">
        <v>176</v>
      </c>
      <c r="K108">
        <v>76.02</v>
      </c>
      <c r="L108">
        <v>6</v>
      </c>
      <c r="M108">
        <v>0</v>
      </c>
      <c r="N108">
        <v>12.86</v>
      </c>
      <c r="O108" t="str">
        <f t="shared" si="1"/>
        <v>May-2025</v>
      </c>
    </row>
    <row r="109" spans="1:15" x14ac:dyDescent="0.25">
      <c r="A109" t="s">
        <v>254</v>
      </c>
      <c r="B109" s="2">
        <v>45881</v>
      </c>
      <c r="C109" s="2">
        <v>45885</v>
      </c>
      <c r="D109" t="s">
        <v>255</v>
      </c>
      <c r="E109" t="s">
        <v>25</v>
      </c>
      <c r="F109" t="s">
        <v>18</v>
      </c>
      <c r="G109" t="s">
        <v>58</v>
      </c>
      <c r="H109" t="s">
        <v>59</v>
      </c>
      <c r="I109" t="s">
        <v>29</v>
      </c>
      <c r="J109" t="s">
        <v>30</v>
      </c>
      <c r="K109">
        <v>631.96</v>
      </c>
      <c r="L109">
        <v>7</v>
      </c>
      <c r="M109">
        <v>0</v>
      </c>
      <c r="N109">
        <v>53.43</v>
      </c>
      <c r="O109" t="str">
        <f t="shared" si="1"/>
        <v>Aug-2025</v>
      </c>
    </row>
    <row r="110" spans="1:15" x14ac:dyDescent="0.25">
      <c r="A110" t="s">
        <v>256</v>
      </c>
      <c r="B110" s="2">
        <v>45662</v>
      </c>
      <c r="C110" s="2">
        <v>45663</v>
      </c>
      <c r="D110" t="s">
        <v>122</v>
      </c>
      <c r="E110" t="s">
        <v>80</v>
      </c>
      <c r="F110" t="s">
        <v>18</v>
      </c>
      <c r="G110" t="s">
        <v>81</v>
      </c>
      <c r="H110" t="s">
        <v>82</v>
      </c>
      <c r="I110" t="s">
        <v>29</v>
      </c>
      <c r="J110" t="s">
        <v>30</v>
      </c>
      <c r="K110">
        <v>142.28</v>
      </c>
      <c r="L110">
        <v>2</v>
      </c>
      <c r="M110">
        <v>0</v>
      </c>
      <c r="N110">
        <v>25.71</v>
      </c>
      <c r="O110" t="str">
        <f t="shared" si="1"/>
        <v>Jan-2025</v>
      </c>
    </row>
    <row r="111" spans="1:15" x14ac:dyDescent="0.25">
      <c r="A111" t="s">
        <v>257</v>
      </c>
      <c r="B111" s="2">
        <v>45639</v>
      </c>
      <c r="C111" s="2">
        <v>45641</v>
      </c>
      <c r="D111" t="s">
        <v>148</v>
      </c>
      <c r="E111" t="s">
        <v>80</v>
      </c>
      <c r="F111" t="s">
        <v>33</v>
      </c>
      <c r="G111" t="s">
        <v>165</v>
      </c>
      <c r="H111" t="s">
        <v>166</v>
      </c>
      <c r="I111" t="s">
        <v>29</v>
      </c>
      <c r="J111" t="s">
        <v>30</v>
      </c>
      <c r="K111">
        <v>169.89</v>
      </c>
      <c r="L111">
        <v>3</v>
      </c>
      <c r="M111">
        <v>0</v>
      </c>
      <c r="N111">
        <v>34.51</v>
      </c>
      <c r="O111" t="str">
        <f t="shared" si="1"/>
        <v>Dec-2024</v>
      </c>
    </row>
    <row r="112" spans="1:15" x14ac:dyDescent="0.25">
      <c r="A112" t="s">
        <v>258</v>
      </c>
      <c r="B112" s="2">
        <v>45651</v>
      </c>
      <c r="C112" s="2">
        <v>45657</v>
      </c>
      <c r="D112" t="s">
        <v>259</v>
      </c>
      <c r="E112" t="s">
        <v>25</v>
      </c>
      <c r="F112" t="s">
        <v>18</v>
      </c>
      <c r="G112" t="s">
        <v>71</v>
      </c>
      <c r="H112" t="s">
        <v>72</v>
      </c>
      <c r="I112" t="s">
        <v>21</v>
      </c>
      <c r="J112" t="s">
        <v>103</v>
      </c>
      <c r="K112">
        <v>7224.27</v>
      </c>
      <c r="L112">
        <v>3</v>
      </c>
      <c r="M112">
        <v>0</v>
      </c>
      <c r="N112">
        <v>584.02</v>
      </c>
      <c r="O112" t="str">
        <f t="shared" si="1"/>
        <v>Dec-2024</v>
      </c>
    </row>
    <row r="113" spans="1:15" x14ac:dyDescent="0.25">
      <c r="A113" t="s">
        <v>260</v>
      </c>
      <c r="B113" s="2">
        <v>45369</v>
      </c>
      <c r="C113" s="2">
        <v>45371</v>
      </c>
      <c r="D113" t="s">
        <v>184</v>
      </c>
      <c r="E113" t="s">
        <v>80</v>
      </c>
      <c r="F113" t="s">
        <v>63</v>
      </c>
      <c r="G113" t="s">
        <v>67</v>
      </c>
      <c r="H113" t="s">
        <v>68</v>
      </c>
      <c r="I113" t="s">
        <v>29</v>
      </c>
      <c r="J113" t="s">
        <v>87</v>
      </c>
      <c r="K113">
        <v>6199.42</v>
      </c>
      <c r="L113">
        <v>8</v>
      </c>
      <c r="M113">
        <v>0.1</v>
      </c>
      <c r="N113">
        <v>298.06</v>
      </c>
      <c r="O113" t="str">
        <f t="shared" si="1"/>
        <v>Mar-2024</v>
      </c>
    </row>
    <row r="114" spans="1:15" x14ac:dyDescent="0.25">
      <c r="A114" t="s">
        <v>261</v>
      </c>
      <c r="B114" s="2">
        <v>45446</v>
      </c>
      <c r="C114" s="2">
        <v>45450</v>
      </c>
      <c r="D114" t="s">
        <v>125</v>
      </c>
      <c r="E114" t="s">
        <v>25</v>
      </c>
      <c r="F114" t="s">
        <v>33</v>
      </c>
      <c r="G114" t="s">
        <v>165</v>
      </c>
      <c r="H114" t="s">
        <v>166</v>
      </c>
      <c r="I114" t="s">
        <v>21</v>
      </c>
      <c r="J114" t="s">
        <v>60</v>
      </c>
      <c r="K114">
        <v>190.72</v>
      </c>
      <c r="L114">
        <v>8</v>
      </c>
      <c r="M114">
        <v>0.2</v>
      </c>
      <c r="N114">
        <v>26.86</v>
      </c>
      <c r="O114" t="str">
        <f t="shared" si="1"/>
        <v>Jun-2024</v>
      </c>
    </row>
    <row r="115" spans="1:15" x14ac:dyDescent="0.25">
      <c r="A115" t="s">
        <v>262</v>
      </c>
      <c r="B115" s="2">
        <v>45609</v>
      </c>
      <c r="C115" s="2">
        <v>45613</v>
      </c>
      <c r="D115" t="s">
        <v>74</v>
      </c>
      <c r="E115" t="s">
        <v>17</v>
      </c>
      <c r="F115" t="s">
        <v>63</v>
      </c>
      <c r="G115" t="s">
        <v>106</v>
      </c>
      <c r="H115" t="s">
        <v>107</v>
      </c>
      <c r="I115" t="s">
        <v>29</v>
      </c>
      <c r="J115" t="s">
        <v>77</v>
      </c>
      <c r="K115">
        <v>275.27999999999997</v>
      </c>
      <c r="L115">
        <v>1</v>
      </c>
      <c r="M115">
        <v>0</v>
      </c>
      <c r="N115">
        <v>16</v>
      </c>
      <c r="O115" t="str">
        <f t="shared" si="1"/>
        <v>Nov-2024</v>
      </c>
    </row>
    <row r="116" spans="1:15" x14ac:dyDescent="0.25">
      <c r="A116" t="s">
        <v>263</v>
      </c>
      <c r="B116" s="2">
        <v>45859</v>
      </c>
      <c r="C116" s="2">
        <v>45866</v>
      </c>
      <c r="D116" t="s">
        <v>264</v>
      </c>
      <c r="E116" t="s">
        <v>80</v>
      </c>
      <c r="F116" t="s">
        <v>18</v>
      </c>
      <c r="G116" t="s">
        <v>19</v>
      </c>
      <c r="H116" t="s">
        <v>20</v>
      </c>
      <c r="I116" t="s">
        <v>21</v>
      </c>
      <c r="J116" t="s">
        <v>123</v>
      </c>
      <c r="K116">
        <v>1220.55</v>
      </c>
      <c r="L116">
        <v>1</v>
      </c>
      <c r="M116">
        <v>0.1</v>
      </c>
      <c r="N116">
        <v>83.21</v>
      </c>
      <c r="O116" t="str">
        <f t="shared" si="1"/>
        <v>Jul-2025</v>
      </c>
    </row>
    <row r="117" spans="1:15" x14ac:dyDescent="0.25">
      <c r="A117" t="s">
        <v>265</v>
      </c>
      <c r="B117" s="2">
        <v>45355</v>
      </c>
      <c r="C117" s="2">
        <v>45359</v>
      </c>
      <c r="D117" t="s">
        <v>74</v>
      </c>
      <c r="E117" t="s">
        <v>17</v>
      </c>
      <c r="F117" t="s">
        <v>26</v>
      </c>
      <c r="G117" t="s">
        <v>75</v>
      </c>
      <c r="H117" t="s">
        <v>76</v>
      </c>
      <c r="I117" t="s">
        <v>21</v>
      </c>
      <c r="J117" t="s">
        <v>123</v>
      </c>
      <c r="K117">
        <v>1324.56</v>
      </c>
      <c r="L117">
        <v>6</v>
      </c>
      <c r="M117">
        <v>0.2</v>
      </c>
      <c r="N117">
        <v>-51.71</v>
      </c>
      <c r="O117" t="str">
        <f t="shared" si="1"/>
        <v>Mar-2024</v>
      </c>
    </row>
    <row r="118" spans="1:15" x14ac:dyDescent="0.25">
      <c r="A118" t="s">
        <v>266</v>
      </c>
      <c r="B118" s="2">
        <v>45827</v>
      </c>
      <c r="C118" s="2">
        <v>45832</v>
      </c>
      <c r="D118" t="s">
        <v>182</v>
      </c>
      <c r="E118" t="s">
        <v>80</v>
      </c>
      <c r="F118" t="s">
        <v>26</v>
      </c>
      <c r="G118" t="s">
        <v>51</v>
      </c>
      <c r="H118" t="s">
        <v>52</v>
      </c>
      <c r="I118" t="s">
        <v>29</v>
      </c>
      <c r="J118" t="s">
        <v>30</v>
      </c>
      <c r="K118">
        <v>193.32</v>
      </c>
      <c r="L118">
        <v>6</v>
      </c>
      <c r="M118">
        <v>0</v>
      </c>
      <c r="N118">
        <v>32.130000000000003</v>
      </c>
      <c r="O118" t="str">
        <f t="shared" si="1"/>
        <v>Jun-2025</v>
      </c>
    </row>
    <row r="119" spans="1:15" x14ac:dyDescent="0.25">
      <c r="A119" t="s">
        <v>267</v>
      </c>
      <c r="B119" s="2">
        <v>45388</v>
      </c>
      <c r="C119" s="2">
        <v>45393</v>
      </c>
      <c r="D119" t="s">
        <v>95</v>
      </c>
      <c r="E119" t="s">
        <v>25</v>
      </c>
      <c r="F119" t="s">
        <v>63</v>
      </c>
      <c r="G119" t="s">
        <v>106</v>
      </c>
      <c r="H119" t="s">
        <v>107</v>
      </c>
      <c r="I119" t="s">
        <v>29</v>
      </c>
      <c r="J119" t="s">
        <v>77</v>
      </c>
      <c r="K119">
        <v>1840.7</v>
      </c>
      <c r="L119">
        <v>5</v>
      </c>
      <c r="M119">
        <v>0</v>
      </c>
      <c r="N119">
        <v>81.150000000000006</v>
      </c>
      <c r="O119" t="str">
        <f t="shared" si="1"/>
        <v>Apr-2024</v>
      </c>
    </row>
    <row r="120" spans="1:15" x14ac:dyDescent="0.25">
      <c r="A120" t="s">
        <v>268</v>
      </c>
      <c r="B120" s="2">
        <v>45963</v>
      </c>
      <c r="C120" s="2">
        <v>45969</v>
      </c>
      <c r="D120" t="s">
        <v>269</v>
      </c>
      <c r="E120" t="s">
        <v>25</v>
      </c>
      <c r="F120" t="s">
        <v>26</v>
      </c>
      <c r="G120" t="s">
        <v>75</v>
      </c>
      <c r="H120" t="s">
        <v>76</v>
      </c>
      <c r="I120" t="s">
        <v>29</v>
      </c>
      <c r="J120" t="s">
        <v>87</v>
      </c>
      <c r="K120">
        <v>1605.76</v>
      </c>
      <c r="L120">
        <v>3</v>
      </c>
      <c r="M120">
        <v>0.15</v>
      </c>
      <c r="N120">
        <v>67.680000000000007</v>
      </c>
      <c r="O120" t="str">
        <f t="shared" si="1"/>
        <v>Nov-2025</v>
      </c>
    </row>
    <row r="121" spans="1:15" x14ac:dyDescent="0.25">
      <c r="A121" t="s">
        <v>270</v>
      </c>
      <c r="B121" s="2">
        <v>45422</v>
      </c>
      <c r="C121" s="2">
        <v>45428</v>
      </c>
      <c r="D121" t="s">
        <v>235</v>
      </c>
      <c r="E121" t="s">
        <v>25</v>
      </c>
      <c r="F121" t="s">
        <v>18</v>
      </c>
      <c r="G121" t="s">
        <v>81</v>
      </c>
      <c r="H121" t="s">
        <v>82</v>
      </c>
      <c r="I121" t="s">
        <v>21</v>
      </c>
      <c r="J121" t="s">
        <v>123</v>
      </c>
      <c r="K121">
        <v>2071.6999999999998</v>
      </c>
      <c r="L121">
        <v>2</v>
      </c>
      <c r="M121">
        <v>0.2</v>
      </c>
      <c r="N121">
        <v>76.98</v>
      </c>
      <c r="O121" t="str">
        <f t="shared" si="1"/>
        <v>May-2024</v>
      </c>
    </row>
    <row r="122" spans="1:15" x14ac:dyDescent="0.25">
      <c r="A122" t="s">
        <v>271</v>
      </c>
      <c r="B122" s="2">
        <v>45641</v>
      </c>
      <c r="C122" s="2">
        <v>45648</v>
      </c>
      <c r="D122" t="s">
        <v>272</v>
      </c>
      <c r="E122" t="s">
        <v>17</v>
      </c>
      <c r="F122" t="s">
        <v>63</v>
      </c>
      <c r="G122" t="s">
        <v>149</v>
      </c>
      <c r="H122" t="s">
        <v>150</v>
      </c>
      <c r="I122" t="s">
        <v>40</v>
      </c>
      <c r="J122" t="s">
        <v>98</v>
      </c>
      <c r="K122">
        <v>409.56</v>
      </c>
      <c r="L122">
        <v>4</v>
      </c>
      <c r="M122">
        <v>0</v>
      </c>
      <c r="N122">
        <v>39.520000000000003</v>
      </c>
      <c r="O122" t="str">
        <f t="shared" si="1"/>
        <v>Dec-2024</v>
      </c>
    </row>
    <row r="123" spans="1:15" x14ac:dyDescent="0.25">
      <c r="A123" t="s">
        <v>273</v>
      </c>
      <c r="B123" s="2">
        <v>45924</v>
      </c>
      <c r="C123" s="2">
        <v>45926</v>
      </c>
      <c r="D123" t="s">
        <v>249</v>
      </c>
      <c r="E123" t="s">
        <v>25</v>
      </c>
      <c r="F123" t="s">
        <v>63</v>
      </c>
      <c r="G123" t="s">
        <v>149</v>
      </c>
      <c r="H123" t="s">
        <v>150</v>
      </c>
      <c r="I123" t="s">
        <v>21</v>
      </c>
      <c r="J123" t="s">
        <v>22</v>
      </c>
      <c r="K123">
        <v>1672.98</v>
      </c>
      <c r="L123">
        <v>3</v>
      </c>
      <c r="M123">
        <v>0</v>
      </c>
      <c r="N123">
        <v>174.41</v>
      </c>
      <c r="O123" t="str">
        <f t="shared" si="1"/>
        <v>Sep-2025</v>
      </c>
    </row>
    <row r="124" spans="1:15" x14ac:dyDescent="0.25">
      <c r="A124" t="s">
        <v>274</v>
      </c>
      <c r="B124" s="2">
        <v>45535</v>
      </c>
      <c r="C124" s="2">
        <v>45539</v>
      </c>
      <c r="D124" t="s">
        <v>275</v>
      </c>
      <c r="E124" t="s">
        <v>80</v>
      </c>
      <c r="F124" t="s">
        <v>26</v>
      </c>
      <c r="G124" t="s">
        <v>96</v>
      </c>
      <c r="H124" t="s">
        <v>97</v>
      </c>
      <c r="I124" t="s">
        <v>29</v>
      </c>
      <c r="J124" t="s">
        <v>30</v>
      </c>
      <c r="K124">
        <v>763.84</v>
      </c>
      <c r="L124">
        <v>8</v>
      </c>
      <c r="M124">
        <v>0</v>
      </c>
      <c r="N124">
        <v>160.56</v>
      </c>
      <c r="O124" t="str">
        <f t="shared" si="1"/>
        <v>Aug-2024</v>
      </c>
    </row>
    <row r="125" spans="1:15" x14ac:dyDescent="0.25">
      <c r="A125" t="s">
        <v>276</v>
      </c>
      <c r="B125" s="2">
        <v>45743</v>
      </c>
      <c r="C125" s="2">
        <v>45747</v>
      </c>
      <c r="D125" t="s">
        <v>54</v>
      </c>
      <c r="E125" t="s">
        <v>80</v>
      </c>
      <c r="F125" t="s">
        <v>63</v>
      </c>
      <c r="G125" t="s">
        <v>64</v>
      </c>
      <c r="H125" t="s">
        <v>65</v>
      </c>
      <c r="I125" t="s">
        <v>29</v>
      </c>
      <c r="J125" t="s">
        <v>77</v>
      </c>
      <c r="K125">
        <v>2412.5500000000002</v>
      </c>
      <c r="L125">
        <v>7</v>
      </c>
      <c r="M125">
        <v>0.15</v>
      </c>
      <c r="N125">
        <v>44.8</v>
      </c>
      <c r="O125" t="str">
        <f t="shared" si="1"/>
        <v>Mar-2025</v>
      </c>
    </row>
    <row r="126" spans="1:15" x14ac:dyDescent="0.25">
      <c r="A126" t="s">
        <v>277</v>
      </c>
      <c r="B126" s="2">
        <v>45948</v>
      </c>
      <c r="C126" s="2">
        <v>45952</v>
      </c>
      <c r="D126" t="s">
        <v>102</v>
      </c>
      <c r="E126" t="s">
        <v>17</v>
      </c>
      <c r="F126" t="s">
        <v>26</v>
      </c>
      <c r="G126" t="s">
        <v>90</v>
      </c>
      <c r="H126" t="s">
        <v>91</v>
      </c>
      <c r="I126" t="s">
        <v>21</v>
      </c>
      <c r="J126" t="s">
        <v>103</v>
      </c>
      <c r="K126">
        <v>3556.9</v>
      </c>
      <c r="L126">
        <v>2</v>
      </c>
      <c r="M126">
        <v>0.2</v>
      </c>
      <c r="N126">
        <v>1080.47</v>
      </c>
      <c r="O126" t="str">
        <f t="shared" si="1"/>
        <v>Oct-2025</v>
      </c>
    </row>
    <row r="127" spans="1:15" x14ac:dyDescent="0.25">
      <c r="A127" t="s">
        <v>278</v>
      </c>
      <c r="B127" s="2">
        <v>45817</v>
      </c>
      <c r="C127" s="2">
        <v>45819</v>
      </c>
      <c r="D127" t="s">
        <v>279</v>
      </c>
      <c r="E127" t="s">
        <v>25</v>
      </c>
      <c r="F127" t="s">
        <v>18</v>
      </c>
      <c r="G127" t="s">
        <v>81</v>
      </c>
      <c r="H127" t="s">
        <v>82</v>
      </c>
      <c r="I127" t="s">
        <v>29</v>
      </c>
      <c r="J127" t="s">
        <v>87</v>
      </c>
      <c r="K127">
        <v>1529.68</v>
      </c>
      <c r="L127">
        <v>2</v>
      </c>
      <c r="M127">
        <v>0</v>
      </c>
      <c r="N127">
        <v>85.92</v>
      </c>
      <c r="O127" t="str">
        <f t="shared" si="1"/>
        <v>Jun-2025</v>
      </c>
    </row>
    <row r="128" spans="1:15" x14ac:dyDescent="0.25">
      <c r="A128" t="s">
        <v>280</v>
      </c>
      <c r="B128" s="2">
        <v>45674</v>
      </c>
      <c r="C128" s="2">
        <v>45676</v>
      </c>
      <c r="D128" t="s">
        <v>136</v>
      </c>
      <c r="E128" t="s">
        <v>80</v>
      </c>
      <c r="F128" t="s">
        <v>63</v>
      </c>
      <c r="G128" t="s">
        <v>149</v>
      </c>
      <c r="H128" t="s">
        <v>150</v>
      </c>
      <c r="I128" t="s">
        <v>40</v>
      </c>
      <c r="J128" t="s">
        <v>48</v>
      </c>
      <c r="K128">
        <v>33.340000000000003</v>
      </c>
      <c r="L128">
        <v>2</v>
      </c>
      <c r="M128">
        <v>0</v>
      </c>
      <c r="N128">
        <v>3.91</v>
      </c>
      <c r="O128" t="str">
        <f t="shared" si="1"/>
        <v>Jan-2025</v>
      </c>
    </row>
    <row r="129" spans="1:15" x14ac:dyDescent="0.25">
      <c r="A129" t="s">
        <v>281</v>
      </c>
      <c r="B129" s="2">
        <v>45432</v>
      </c>
      <c r="C129" s="2">
        <v>45433</v>
      </c>
      <c r="D129" t="s">
        <v>208</v>
      </c>
      <c r="E129" t="s">
        <v>17</v>
      </c>
      <c r="F129" t="s">
        <v>63</v>
      </c>
      <c r="G129" t="s">
        <v>149</v>
      </c>
      <c r="H129" t="s">
        <v>150</v>
      </c>
      <c r="I129" t="s">
        <v>21</v>
      </c>
      <c r="J129" t="s">
        <v>60</v>
      </c>
      <c r="K129">
        <v>596.48</v>
      </c>
      <c r="L129">
        <v>8</v>
      </c>
      <c r="M129">
        <v>0.2</v>
      </c>
      <c r="N129">
        <v>178.55</v>
      </c>
      <c r="O129" t="str">
        <f t="shared" si="1"/>
        <v>May-2024</v>
      </c>
    </row>
    <row r="130" spans="1:15" x14ac:dyDescent="0.25">
      <c r="A130" t="s">
        <v>282</v>
      </c>
      <c r="B130" s="2">
        <v>45554</v>
      </c>
      <c r="C130" s="2">
        <v>45556</v>
      </c>
      <c r="D130" t="s">
        <v>283</v>
      </c>
      <c r="E130" t="s">
        <v>17</v>
      </c>
      <c r="F130" t="s">
        <v>33</v>
      </c>
      <c r="G130" t="s">
        <v>131</v>
      </c>
      <c r="H130" t="s">
        <v>132</v>
      </c>
      <c r="I130" t="s">
        <v>21</v>
      </c>
      <c r="J130" t="s">
        <v>22</v>
      </c>
      <c r="K130">
        <v>5318.04</v>
      </c>
      <c r="L130">
        <v>7</v>
      </c>
      <c r="M130">
        <v>0</v>
      </c>
      <c r="N130">
        <v>1504.22</v>
      </c>
      <c r="O130" t="str">
        <f t="shared" ref="O130:O193" si="2">TEXT(B130,"mmm-yyyy")</f>
        <v>Sep-2024</v>
      </c>
    </row>
    <row r="131" spans="1:15" x14ac:dyDescent="0.25">
      <c r="A131" t="s">
        <v>284</v>
      </c>
      <c r="B131" s="2">
        <v>45946</v>
      </c>
      <c r="C131" s="2">
        <v>45953</v>
      </c>
      <c r="D131" t="s">
        <v>285</v>
      </c>
      <c r="E131" t="s">
        <v>25</v>
      </c>
      <c r="F131" t="s">
        <v>26</v>
      </c>
      <c r="G131" t="s">
        <v>75</v>
      </c>
      <c r="H131" t="s">
        <v>76</v>
      </c>
      <c r="I131" t="s">
        <v>29</v>
      </c>
      <c r="J131" t="s">
        <v>55</v>
      </c>
      <c r="K131">
        <v>807.72</v>
      </c>
      <c r="L131">
        <v>2</v>
      </c>
      <c r="M131">
        <v>0</v>
      </c>
      <c r="N131">
        <v>243.13</v>
      </c>
      <c r="O131" t="str">
        <f t="shared" si="2"/>
        <v>Oct-2025</v>
      </c>
    </row>
    <row r="132" spans="1:15" x14ac:dyDescent="0.25">
      <c r="A132" t="s">
        <v>286</v>
      </c>
      <c r="B132" s="2">
        <v>45880</v>
      </c>
      <c r="C132" s="2">
        <v>45882</v>
      </c>
      <c r="D132" t="s">
        <v>125</v>
      </c>
      <c r="E132" t="s">
        <v>80</v>
      </c>
      <c r="F132" t="s">
        <v>33</v>
      </c>
      <c r="G132" t="s">
        <v>165</v>
      </c>
      <c r="H132" t="s">
        <v>166</v>
      </c>
      <c r="I132" t="s">
        <v>21</v>
      </c>
      <c r="J132" t="s">
        <v>22</v>
      </c>
      <c r="K132">
        <v>2973.42</v>
      </c>
      <c r="L132">
        <v>5</v>
      </c>
      <c r="M132">
        <v>0.1</v>
      </c>
      <c r="N132">
        <v>150.07</v>
      </c>
      <c r="O132" t="str">
        <f t="shared" si="2"/>
        <v>Aug-2025</v>
      </c>
    </row>
    <row r="133" spans="1:15" x14ac:dyDescent="0.25">
      <c r="A133" t="s">
        <v>287</v>
      </c>
      <c r="B133" s="2">
        <v>45976</v>
      </c>
      <c r="C133" s="2">
        <v>45977</v>
      </c>
      <c r="D133" t="s">
        <v>272</v>
      </c>
      <c r="E133" t="s">
        <v>80</v>
      </c>
      <c r="F133" t="s">
        <v>63</v>
      </c>
      <c r="G133" t="s">
        <v>67</v>
      </c>
      <c r="H133" t="s">
        <v>68</v>
      </c>
      <c r="I133" t="s">
        <v>21</v>
      </c>
      <c r="J133" t="s">
        <v>123</v>
      </c>
      <c r="K133">
        <v>5939.52</v>
      </c>
      <c r="L133">
        <v>6</v>
      </c>
      <c r="M133">
        <v>0</v>
      </c>
      <c r="N133">
        <v>439.18</v>
      </c>
      <c r="O133" t="str">
        <f t="shared" si="2"/>
        <v>Nov-2025</v>
      </c>
    </row>
    <row r="134" spans="1:15" x14ac:dyDescent="0.25">
      <c r="A134" t="s">
        <v>288</v>
      </c>
      <c r="B134" s="2">
        <v>45674</v>
      </c>
      <c r="C134" s="2">
        <v>45677</v>
      </c>
      <c r="D134" t="s">
        <v>186</v>
      </c>
      <c r="E134" t="s">
        <v>25</v>
      </c>
      <c r="F134" t="s">
        <v>18</v>
      </c>
      <c r="G134" t="s">
        <v>58</v>
      </c>
      <c r="H134" t="s">
        <v>59</v>
      </c>
      <c r="I134" t="s">
        <v>40</v>
      </c>
      <c r="J134" t="s">
        <v>48</v>
      </c>
      <c r="K134">
        <v>127.68</v>
      </c>
      <c r="L134">
        <v>6</v>
      </c>
      <c r="M134">
        <v>0.3</v>
      </c>
      <c r="N134">
        <v>8.9700000000000006</v>
      </c>
      <c r="O134" t="str">
        <f t="shared" si="2"/>
        <v>Jan-2025</v>
      </c>
    </row>
    <row r="135" spans="1:15" x14ac:dyDescent="0.25">
      <c r="A135" t="s">
        <v>289</v>
      </c>
      <c r="B135" s="2">
        <v>45652</v>
      </c>
      <c r="C135" s="2">
        <v>45657</v>
      </c>
      <c r="D135" t="s">
        <v>70</v>
      </c>
      <c r="E135" t="s">
        <v>17</v>
      </c>
      <c r="F135" t="s">
        <v>26</v>
      </c>
      <c r="G135" t="s">
        <v>51</v>
      </c>
      <c r="H135" t="s">
        <v>52</v>
      </c>
      <c r="I135" t="s">
        <v>21</v>
      </c>
      <c r="J135" t="s">
        <v>60</v>
      </c>
      <c r="K135">
        <v>227.18</v>
      </c>
      <c r="L135">
        <v>3</v>
      </c>
      <c r="M135">
        <v>0.3</v>
      </c>
      <c r="N135">
        <v>64.459999999999994</v>
      </c>
      <c r="O135" t="str">
        <f t="shared" si="2"/>
        <v>Dec-2024</v>
      </c>
    </row>
    <row r="136" spans="1:15" x14ac:dyDescent="0.25">
      <c r="A136" t="s">
        <v>290</v>
      </c>
      <c r="B136" s="2">
        <v>45356</v>
      </c>
      <c r="C136" s="2">
        <v>45362</v>
      </c>
      <c r="D136" t="s">
        <v>291</v>
      </c>
      <c r="E136" t="s">
        <v>17</v>
      </c>
      <c r="F136" t="s">
        <v>33</v>
      </c>
      <c r="G136" t="s">
        <v>131</v>
      </c>
      <c r="H136" t="s">
        <v>132</v>
      </c>
      <c r="I136" t="s">
        <v>21</v>
      </c>
      <c r="J136" t="s">
        <v>103</v>
      </c>
      <c r="K136">
        <v>16060.96</v>
      </c>
      <c r="L136">
        <v>8</v>
      </c>
      <c r="M136">
        <v>0</v>
      </c>
      <c r="N136">
        <v>2216.94</v>
      </c>
      <c r="O136" t="str">
        <f t="shared" si="2"/>
        <v>Mar-2024</v>
      </c>
    </row>
    <row r="137" spans="1:15" x14ac:dyDescent="0.25">
      <c r="A137" t="s">
        <v>292</v>
      </c>
      <c r="B137" s="2">
        <v>45699</v>
      </c>
      <c r="C137" s="2">
        <v>45706</v>
      </c>
      <c r="D137" t="s">
        <v>148</v>
      </c>
      <c r="E137" t="s">
        <v>80</v>
      </c>
      <c r="F137" t="s">
        <v>18</v>
      </c>
      <c r="G137" t="s">
        <v>46</v>
      </c>
      <c r="H137" t="s">
        <v>47</v>
      </c>
      <c r="I137" t="s">
        <v>29</v>
      </c>
      <c r="J137" t="s">
        <v>77</v>
      </c>
      <c r="K137">
        <v>1563.2</v>
      </c>
      <c r="L137">
        <v>5</v>
      </c>
      <c r="M137">
        <v>0</v>
      </c>
      <c r="N137">
        <v>74.92</v>
      </c>
      <c r="O137" t="str">
        <f t="shared" si="2"/>
        <v>Feb-2025</v>
      </c>
    </row>
    <row r="138" spans="1:15" x14ac:dyDescent="0.25">
      <c r="A138" t="s">
        <v>293</v>
      </c>
      <c r="B138" s="2">
        <v>45571</v>
      </c>
      <c r="C138" s="2">
        <v>45572</v>
      </c>
      <c r="D138" t="s">
        <v>294</v>
      </c>
      <c r="E138" t="s">
        <v>25</v>
      </c>
      <c r="F138" t="s">
        <v>26</v>
      </c>
      <c r="G138" t="s">
        <v>75</v>
      </c>
      <c r="H138" t="s">
        <v>76</v>
      </c>
      <c r="I138" t="s">
        <v>40</v>
      </c>
      <c r="J138" t="s">
        <v>48</v>
      </c>
      <c r="K138">
        <v>203.99</v>
      </c>
      <c r="L138">
        <v>7</v>
      </c>
      <c r="M138">
        <v>0.1</v>
      </c>
      <c r="N138">
        <v>55.69</v>
      </c>
      <c r="O138" t="str">
        <f t="shared" si="2"/>
        <v>Oct-2024</v>
      </c>
    </row>
    <row r="139" spans="1:15" x14ac:dyDescent="0.25">
      <c r="A139" t="s">
        <v>295</v>
      </c>
      <c r="B139" s="2">
        <v>45668</v>
      </c>
      <c r="C139" s="2">
        <v>45675</v>
      </c>
      <c r="D139" t="s">
        <v>162</v>
      </c>
      <c r="E139" t="s">
        <v>25</v>
      </c>
      <c r="F139" t="s">
        <v>33</v>
      </c>
      <c r="G139" t="s">
        <v>141</v>
      </c>
      <c r="H139" t="s">
        <v>142</v>
      </c>
      <c r="I139" t="s">
        <v>29</v>
      </c>
      <c r="J139" t="s">
        <v>30</v>
      </c>
      <c r="K139">
        <v>132.32</v>
      </c>
      <c r="L139">
        <v>2</v>
      </c>
      <c r="M139">
        <v>0.2</v>
      </c>
      <c r="N139">
        <v>23.47</v>
      </c>
      <c r="O139" t="str">
        <f t="shared" si="2"/>
        <v>Jan-2025</v>
      </c>
    </row>
    <row r="140" spans="1:15" x14ac:dyDescent="0.25">
      <c r="A140" t="s">
        <v>296</v>
      </c>
      <c r="B140" s="2">
        <v>45373</v>
      </c>
      <c r="C140" s="2">
        <v>45376</v>
      </c>
      <c r="D140" t="s">
        <v>138</v>
      </c>
      <c r="E140" t="s">
        <v>17</v>
      </c>
      <c r="F140" t="s">
        <v>33</v>
      </c>
      <c r="G140" t="s">
        <v>165</v>
      </c>
      <c r="H140" t="s">
        <v>166</v>
      </c>
      <c r="I140" t="s">
        <v>29</v>
      </c>
      <c r="J140" t="s">
        <v>77</v>
      </c>
      <c r="K140">
        <v>1624.41</v>
      </c>
      <c r="L140">
        <v>5</v>
      </c>
      <c r="M140">
        <v>0.1</v>
      </c>
      <c r="N140">
        <v>46.04</v>
      </c>
      <c r="O140" t="str">
        <f t="shared" si="2"/>
        <v>Mar-2024</v>
      </c>
    </row>
    <row r="141" spans="1:15" x14ac:dyDescent="0.25">
      <c r="A141" t="s">
        <v>297</v>
      </c>
      <c r="B141" s="2">
        <v>45335</v>
      </c>
      <c r="C141" s="2">
        <v>45341</v>
      </c>
      <c r="D141" t="s">
        <v>269</v>
      </c>
      <c r="E141" t="s">
        <v>25</v>
      </c>
      <c r="F141" t="s">
        <v>33</v>
      </c>
      <c r="G141" t="s">
        <v>38</v>
      </c>
      <c r="H141" t="s">
        <v>39</v>
      </c>
      <c r="I141" t="s">
        <v>21</v>
      </c>
      <c r="J141" t="s">
        <v>123</v>
      </c>
      <c r="K141">
        <v>8053.21</v>
      </c>
      <c r="L141">
        <v>6</v>
      </c>
      <c r="M141">
        <v>0.15</v>
      </c>
      <c r="N141">
        <v>642.32000000000005</v>
      </c>
      <c r="O141" t="str">
        <f t="shared" si="2"/>
        <v>Feb-2024</v>
      </c>
    </row>
    <row r="142" spans="1:15" x14ac:dyDescent="0.25">
      <c r="A142" t="s">
        <v>298</v>
      </c>
      <c r="B142" s="2">
        <v>45987</v>
      </c>
      <c r="C142" s="2">
        <v>45989</v>
      </c>
      <c r="D142" t="s">
        <v>275</v>
      </c>
      <c r="E142" t="s">
        <v>80</v>
      </c>
      <c r="F142" t="s">
        <v>63</v>
      </c>
      <c r="G142" t="s">
        <v>149</v>
      </c>
      <c r="H142" t="s">
        <v>150</v>
      </c>
      <c r="I142" t="s">
        <v>29</v>
      </c>
      <c r="J142" t="s">
        <v>30</v>
      </c>
      <c r="K142">
        <v>301.12</v>
      </c>
      <c r="L142">
        <v>3</v>
      </c>
      <c r="M142">
        <v>0.3</v>
      </c>
      <c r="N142">
        <v>69.94</v>
      </c>
      <c r="O142" t="str">
        <f t="shared" si="2"/>
        <v>Nov-2025</v>
      </c>
    </row>
    <row r="143" spans="1:15" x14ac:dyDescent="0.25">
      <c r="A143" t="s">
        <v>299</v>
      </c>
      <c r="B143" s="2">
        <v>45667</v>
      </c>
      <c r="C143" s="2">
        <v>45670</v>
      </c>
      <c r="D143" t="s">
        <v>285</v>
      </c>
      <c r="E143" t="s">
        <v>80</v>
      </c>
      <c r="F143" t="s">
        <v>33</v>
      </c>
      <c r="G143" t="s">
        <v>34</v>
      </c>
      <c r="H143" t="s">
        <v>35</v>
      </c>
      <c r="I143" t="s">
        <v>29</v>
      </c>
      <c r="J143" t="s">
        <v>55</v>
      </c>
      <c r="K143">
        <v>237.22</v>
      </c>
      <c r="L143">
        <v>1</v>
      </c>
      <c r="M143">
        <v>0.15</v>
      </c>
      <c r="N143">
        <v>22.78</v>
      </c>
      <c r="O143" t="str">
        <f t="shared" si="2"/>
        <v>Jan-2025</v>
      </c>
    </row>
    <row r="144" spans="1:15" x14ac:dyDescent="0.25">
      <c r="A144" t="s">
        <v>300</v>
      </c>
      <c r="B144" s="2">
        <v>45879</v>
      </c>
      <c r="C144" s="2">
        <v>45881</v>
      </c>
      <c r="D144" t="s">
        <v>184</v>
      </c>
      <c r="E144" t="s">
        <v>17</v>
      </c>
      <c r="F144" t="s">
        <v>33</v>
      </c>
      <c r="G144" t="s">
        <v>141</v>
      </c>
      <c r="H144" t="s">
        <v>142</v>
      </c>
      <c r="I144" t="s">
        <v>40</v>
      </c>
      <c r="J144" t="s">
        <v>109</v>
      </c>
      <c r="K144">
        <v>191.87</v>
      </c>
      <c r="L144">
        <v>7</v>
      </c>
      <c r="M144">
        <v>0</v>
      </c>
      <c r="N144">
        <v>46.98</v>
      </c>
      <c r="O144" t="str">
        <f t="shared" si="2"/>
        <v>Aug-2025</v>
      </c>
    </row>
    <row r="145" spans="1:15" x14ac:dyDescent="0.25">
      <c r="A145" t="s">
        <v>301</v>
      </c>
      <c r="B145" s="2">
        <v>45688</v>
      </c>
      <c r="C145" s="2">
        <v>45693</v>
      </c>
      <c r="D145" t="s">
        <v>194</v>
      </c>
      <c r="E145" t="s">
        <v>80</v>
      </c>
      <c r="F145" t="s">
        <v>26</v>
      </c>
      <c r="G145" t="s">
        <v>51</v>
      </c>
      <c r="H145" t="s">
        <v>52</v>
      </c>
      <c r="I145" t="s">
        <v>29</v>
      </c>
      <c r="J145" t="s">
        <v>87</v>
      </c>
      <c r="K145">
        <v>776.84</v>
      </c>
      <c r="L145">
        <v>5</v>
      </c>
      <c r="M145">
        <v>0.2</v>
      </c>
      <c r="N145">
        <v>6.23</v>
      </c>
      <c r="O145" t="str">
        <f t="shared" si="2"/>
        <v>Jan-2025</v>
      </c>
    </row>
    <row r="146" spans="1:15" x14ac:dyDescent="0.25">
      <c r="A146" t="s">
        <v>302</v>
      </c>
      <c r="B146" s="2">
        <v>45754</v>
      </c>
      <c r="C146" s="2">
        <v>45756</v>
      </c>
      <c r="D146" t="s">
        <v>70</v>
      </c>
      <c r="E146" t="s">
        <v>17</v>
      </c>
      <c r="F146" t="s">
        <v>63</v>
      </c>
      <c r="G146" t="s">
        <v>64</v>
      </c>
      <c r="H146" t="s">
        <v>65</v>
      </c>
      <c r="I146" t="s">
        <v>29</v>
      </c>
      <c r="J146" t="s">
        <v>55</v>
      </c>
      <c r="K146">
        <v>4378.4799999999996</v>
      </c>
      <c r="L146">
        <v>8</v>
      </c>
      <c r="M146">
        <v>0</v>
      </c>
      <c r="N146">
        <v>1283.57</v>
      </c>
      <c r="O146" t="str">
        <f t="shared" si="2"/>
        <v>Apr-2025</v>
      </c>
    </row>
    <row r="147" spans="1:15" x14ac:dyDescent="0.25">
      <c r="A147" t="s">
        <v>303</v>
      </c>
      <c r="B147" s="2">
        <v>45589</v>
      </c>
      <c r="C147" s="2">
        <v>45592</v>
      </c>
      <c r="D147" t="s">
        <v>304</v>
      </c>
      <c r="E147" t="s">
        <v>80</v>
      </c>
      <c r="F147" t="s">
        <v>63</v>
      </c>
      <c r="G147" t="s">
        <v>112</v>
      </c>
      <c r="H147" t="s">
        <v>113</v>
      </c>
      <c r="I147" t="s">
        <v>21</v>
      </c>
      <c r="J147" t="s">
        <v>22</v>
      </c>
      <c r="K147">
        <v>1624.69</v>
      </c>
      <c r="L147">
        <v>3</v>
      </c>
      <c r="M147">
        <v>0.3</v>
      </c>
      <c r="N147">
        <v>257.43</v>
      </c>
      <c r="O147" t="str">
        <f t="shared" si="2"/>
        <v>Oct-2024</v>
      </c>
    </row>
    <row r="148" spans="1:15" x14ac:dyDescent="0.25">
      <c r="A148" t="s">
        <v>305</v>
      </c>
      <c r="B148" s="2">
        <v>45318</v>
      </c>
      <c r="C148" s="2">
        <v>45321</v>
      </c>
      <c r="D148" t="s">
        <v>285</v>
      </c>
      <c r="E148" t="s">
        <v>25</v>
      </c>
      <c r="F148" t="s">
        <v>26</v>
      </c>
      <c r="G148" t="s">
        <v>51</v>
      </c>
      <c r="H148" t="s">
        <v>52</v>
      </c>
      <c r="I148" t="s">
        <v>29</v>
      </c>
      <c r="J148" t="s">
        <v>87</v>
      </c>
      <c r="K148">
        <v>2933.39</v>
      </c>
      <c r="L148">
        <v>6</v>
      </c>
      <c r="M148">
        <v>0.1</v>
      </c>
      <c r="N148">
        <v>159.80000000000001</v>
      </c>
      <c r="O148" t="str">
        <f t="shared" si="2"/>
        <v>Jan-2024</v>
      </c>
    </row>
    <row r="149" spans="1:15" x14ac:dyDescent="0.25">
      <c r="A149" t="s">
        <v>306</v>
      </c>
      <c r="B149" s="2">
        <v>45782</v>
      </c>
      <c r="C149" s="2">
        <v>45787</v>
      </c>
      <c r="D149" t="s">
        <v>148</v>
      </c>
      <c r="E149" t="s">
        <v>25</v>
      </c>
      <c r="F149" t="s">
        <v>26</v>
      </c>
      <c r="G149" t="s">
        <v>27</v>
      </c>
      <c r="H149" t="s">
        <v>28</v>
      </c>
      <c r="I149" t="s">
        <v>29</v>
      </c>
      <c r="J149" t="s">
        <v>55</v>
      </c>
      <c r="K149">
        <v>1438.69</v>
      </c>
      <c r="L149">
        <v>7</v>
      </c>
      <c r="M149">
        <v>0.3</v>
      </c>
      <c r="N149">
        <v>320.07</v>
      </c>
      <c r="O149" t="str">
        <f t="shared" si="2"/>
        <v>May-2025</v>
      </c>
    </row>
    <row r="150" spans="1:15" x14ac:dyDescent="0.25">
      <c r="A150" t="s">
        <v>307</v>
      </c>
      <c r="B150" s="2">
        <v>45988</v>
      </c>
      <c r="C150" s="2">
        <v>45993</v>
      </c>
      <c r="D150" t="s">
        <v>308</v>
      </c>
      <c r="E150" t="s">
        <v>25</v>
      </c>
      <c r="F150" t="s">
        <v>26</v>
      </c>
      <c r="G150" t="s">
        <v>75</v>
      </c>
      <c r="H150" t="s">
        <v>76</v>
      </c>
      <c r="I150" t="s">
        <v>21</v>
      </c>
      <c r="J150" t="s">
        <v>22</v>
      </c>
      <c r="K150">
        <v>719.96</v>
      </c>
      <c r="L150">
        <v>3</v>
      </c>
      <c r="M150">
        <v>0.3</v>
      </c>
      <c r="N150">
        <v>244.7</v>
      </c>
      <c r="O150" t="str">
        <f t="shared" si="2"/>
        <v>Nov-2025</v>
      </c>
    </row>
    <row r="151" spans="1:15" x14ac:dyDescent="0.25">
      <c r="A151" t="s">
        <v>309</v>
      </c>
      <c r="B151" s="2">
        <v>45603</v>
      </c>
      <c r="C151" s="2">
        <v>45605</v>
      </c>
      <c r="D151" t="s">
        <v>310</v>
      </c>
      <c r="E151" t="s">
        <v>17</v>
      </c>
      <c r="F151" t="s">
        <v>33</v>
      </c>
      <c r="G151" t="s">
        <v>165</v>
      </c>
      <c r="H151" t="s">
        <v>166</v>
      </c>
      <c r="I151" t="s">
        <v>29</v>
      </c>
      <c r="J151" t="s">
        <v>55</v>
      </c>
      <c r="K151">
        <v>656.88</v>
      </c>
      <c r="L151">
        <v>4</v>
      </c>
      <c r="M151">
        <v>0</v>
      </c>
      <c r="N151">
        <v>219.56</v>
      </c>
      <c r="O151" t="str">
        <f t="shared" si="2"/>
        <v>Nov-2024</v>
      </c>
    </row>
    <row r="152" spans="1:15" x14ac:dyDescent="0.25">
      <c r="A152" t="s">
        <v>311</v>
      </c>
      <c r="B152" s="2">
        <v>45573</v>
      </c>
      <c r="C152" s="2">
        <v>45575</v>
      </c>
      <c r="D152" t="s">
        <v>186</v>
      </c>
      <c r="E152" t="s">
        <v>80</v>
      </c>
      <c r="F152" t="s">
        <v>63</v>
      </c>
      <c r="G152" t="s">
        <v>149</v>
      </c>
      <c r="H152" t="s">
        <v>150</v>
      </c>
      <c r="I152" t="s">
        <v>40</v>
      </c>
      <c r="J152" t="s">
        <v>41</v>
      </c>
      <c r="K152">
        <v>27.85</v>
      </c>
      <c r="L152">
        <v>2</v>
      </c>
      <c r="M152">
        <v>0.15</v>
      </c>
      <c r="N152">
        <v>6.75</v>
      </c>
      <c r="O152" t="str">
        <f t="shared" si="2"/>
        <v>Oct-2024</v>
      </c>
    </row>
    <row r="153" spans="1:15" x14ac:dyDescent="0.25">
      <c r="A153" t="s">
        <v>312</v>
      </c>
      <c r="B153" s="2">
        <v>45334</v>
      </c>
      <c r="C153" s="2">
        <v>45341</v>
      </c>
      <c r="D153" t="s">
        <v>144</v>
      </c>
      <c r="E153" t="s">
        <v>80</v>
      </c>
      <c r="F153" t="s">
        <v>26</v>
      </c>
      <c r="G153" t="s">
        <v>90</v>
      </c>
      <c r="H153" t="s">
        <v>91</v>
      </c>
      <c r="I153" t="s">
        <v>21</v>
      </c>
      <c r="J153" t="s">
        <v>60</v>
      </c>
      <c r="K153">
        <v>521</v>
      </c>
      <c r="L153">
        <v>2</v>
      </c>
      <c r="M153">
        <v>0</v>
      </c>
      <c r="N153">
        <v>174.31</v>
      </c>
      <c r="O153" t="str">
        <f t="shared" si="2"/>
        <v>Feb-2024</v>
      </c>
    </row>
    <row r="154" spans="1:15" x14ac:dyDescent="0.25">
      <c r="A154" t="s">
        <v>313</v>
      </c>
      <c r="B154" s="2">
        <v>45323</v>
      </c>
      <c r="C154" s="2">
        <v>45327</v>
      </c>
      <c r="D154" t="s">
        <v>314</v>
      </c>
      <c r="E154" t="s">
        <v>80</v>
      </c>
      <c r="F154" t="s">
        <v>63</v>
      </c>
      <c r="G154" t="s">
        <v>67</v>
      </c>
      <c r="H154" t="s">
        <v>68</v>
      </c>
      <c r="I154" t="s">
        <v>21</v>
      </c>
      <c r="J154" t="s">
        <v>123</v>
      </c>
      <c r="K154">
        <v>6445.16</v>
      </c>
      <c r="L154">
        <v>5</v>
      </c>
      <c r="M154">
        <v>0.2</v>
      </c>
      <c r="N154">
        <v>479.29</v>
      </c>
      <c r="O154" t="str">
        <f t="shared" si="2"/>
        <v>Feb-2024</v>
      </c>
    </row>
    <row r="155" spans="1:15" x14ac:dyDescent="0.25">
      <c r="A155" t="s">
        <v>315</v>
      </c>
      <c r="B155" s="2">
        <v>45366</v>
      </c>
      <c r="C155" s="2">
        <v>45372</v>
      </c>
      <c r="D155" t="s">
        <v>130</v>
      </c>
      <c r="E155" t="s">
        <v>25</v>
      </c>
      <c r="F155" t="s">
        <v>33</v>
      </c>
      <c r="G155" t="s">
        <v>38</v>
      </c>
      <c r="H155" t="s">
        <v>39</v>
      </c>
      <c r="I155" t="s">
        <v>21</v>
      </c>
      <c r="J155" t="s">
        <v>123</v>
      </c>
      <c r="K155">
        <v>1453.32</v>
      </c>
      <c r="L155">
        <v>8</v>
      </c>
      <c r="M155">
        <v>0.1</v>
      </c>
      <c r="N155">
        <v>18.82</v>
      </c>
      <c r="O155" t="str">
        <f t="shared" si="2"/>
        <v>Mar-2024</v>
      </c>
    </row>
    <row r="156" spans="1:15" x14ac:dyDescent="0.25">
      <c r="A156" t="s">
        <v>316</v>
      </c>
      <c r="B156" s="2">
        <v>45618</v>
      </c>
      <c r="C156" s="2">
        <v>45624</v>
      </c>
      <c r="D156" t="s">
        <v>200</v>
      </c>
      <c r="E156" t="s">
        <v>80</v>
      </c>
      <c r="F156" t="s">
        <v>26</v>
      </c>
      <c r="G156" t="s">
        <v>75</v>
      </c>
      <c r="H156" t="s">
        <v>76</v>
      </c>
      <c r="I156" t="s">
        <v>21</v>
      </c>
      <c r="J156" t="s">
        <v>103</v>
      </c>
      <c r="K156">
        <v>13357.71</v>
      </c>
      <c r="L156">
        <v>6</v>
      </c>
      <c r="M156">
        <v>0.1</v>
      </c>
      <c r="N156">
        <v>1191.9100000000001</v>
      </c>
      <c r="O156" t="str">
        <f t="shared" si="2"/>
        <v>Nov-2024</v>
      </c>
    </row>
    <row r="157" spans="1:15" x14ac:dyDescent="0.25">
      <c r="A157" t="s">
        <v>317</v>
      </c>
      <c r="B157" s="2">
        <v>45769</v>
      </c>
      <c r="C157" s="2">
        <v>45770</v>
      </c>
      <c r="D157" t="s">
        <v>200</v>
      </c>
      <c r="E157" t="s">
        <v>17</v>
      </c>
      <c r="F157" t="s">
        <v>63</v>
      </c>
      <c r="G157" t="s">
        <v>106</v>
      </c>
      <c r="H157" t="s">
        <v>107</v>
      </c>
      <c r="I157" t="s">
        <v>21</v>
      </c>
      <c r="J157" t="s">
        <v>22</v>
      </c>
      <c r="K157">
        <v>1109.4000000000001</v>
      </c>
      <c r="L157">
        <v>4</v>
      </c>
      <c r="M157">
        <v>0</v>
      </c>
      <c r="N157">
        <v>87.69</v>
      </c>
      <c r="O157" t="str">
        <f t="shared" si="2"/>
        <v>Apr-2025</v>
      </c>
    </row>
    <row r="158" spans="1:15" x14ac:dyDescent="0.25">
      <c r="A158" t="s">
        <v>318</v>
      </c>
      <c r="B158" s="2">
        <v>45627</v>
      </c>
      <c r="C158" s="2">
        <v>45632</v>
      </c>
      <c r="D158" t="s">
        <v>24</v>
      </c>
      <c r="E158" t="s">
        <v>17</v>
      </c>
      <c r="F158" t="s">
        <v>63</v>
      </c>
      <c r="G158" t="s">
        <v>64</v>
      </c>
      <c r="H158" t="s">
        <v>65</v>
      </c>
      <c r="I158" t="s">
        <v>21</v>
      </c>
      <c r="J158" t="s">
        <v>123</v>
      </c>
      <c r="K158">
        <v>3712.58</v>
      </c>
      <c r="L158">
        <v>4</v>
      </c>
      <c r="M158">
        <v>0.3</v>
      </c>
      <c r="N158">
        <v>-108.72</v>
      </c>
      <c r="O158" t="str">
        <f t="shared" si="2"/>
        <v>Dec-2024</v>
      </c>
    </row>
    <row r="159" spans="1:15" x14ac:dyDescent="0.25">
      <c r="A159" t="s">
        <v>319</v>
      </c>
      <c r="B159" s="2">
        <v>45694</v>
      </c>
      <c r="C159" s="2">
        <v>45699</v>
      </c>
      <c r="D159" t="s">
        <v>140</v>
      </c>
      <c r="E159" t="s">
        <v>17</v>
      </c>
      <c r="F159" t="s">
        <v>33</v>
      </c>
      <c r="G159" t="s">
        <v>131</v>
      </c>
      <c r="H159" t="s">
        <v>132</v>
      </c>
      <c r="I159" t="s">
        <v>40</v>
      </c>
      <c r="J159" t="s">
        <v>109</v>
      </c>
      <c r="K159">
        <v>95.8</v>
      </c>
      <c r="L159">
        <v>4</v>
      </c>
      <c r="M159">
        <v>0</v>
      </c>
      <c r="N159">
        <v>21.56</v>
      </c>
      <c r="O159" t="str">
        <f t="shared" si="2"/>
        <v>Feb-2025</v>
      </c>
    </row>
    <row r="160" spans="1:15" x14ac:dyDescent="0.25">
      <c r="A160" t="s">
        <v>320</v>
      </c>
      <c r="B160" s="2">
        <v>45980</v>
      </c>
      <c r="C160" s="2">
        <v>45984</v>
      </c>
      <c r="D160" t="s">
        <v>321</v>
      </c>
      <c r="E160" t="s">
        <v>80</v>
      </c>
      <c r="F160" t="s">
        <v>18</v>
      </c>
      <c r="G160" t="s">
        <v>19</v>
      </c>
      <c r="H160" t="s">
        <v>20</v>
      </c>
      <c r="I160" t="s">
        <v>40</v>
      </c>
      <c r="J160" t="s">
        <v>109</v>
      </c>
      <c r="K160">
        <v>11</v>
      </c>
      <c r="L160">
        <v>1</v>
      </c>
      <c r="M160">
        <v>0.3</v>
      </c>
      <c r="N160">
        <v>0.9</v>
      </c>
      <c r="O160" t="str">
        <f t="shared" si="2"/>
        <v>Nov-2025</v>
      </c>
    </row>
    <row r="161" spans="1:15" x14ac:dyDescent="0.25">
      <c r="A161" t="s">
        <v>322</v>
      </c>
      <c r="B161" s="2">
        <v>45666</v>
      </c>
      <c r="C161" s="2">
        <v>45667</v>
      </c>
      <c r="D161" t="s">
        <v>184</v>
      </c>
      <c r="E161" t="s">
        <v>25</v>
      </c>
      <c r="F161" t="s">
        <v>26</v>
      </c>
      <c r="G161" t="s">
        <v>75</v>
      </c>
      <c r="H161" t="s">
        <v>76</v>
      </c>
      <c r="I161" t="s">
        <v>21</v>
      </c>
      <c r="J161" t="s">
        <v>60</v>
      </c>
      <c r="K161">
        <v>504.68</v>
      </c>
      <c r="L161">
        <v>4</v>
      </c>
      <c r="M161">
        <v>0</v>
      </c>
      <c r="N161">
        <v>108.99</v>
      </c>
      <c r="O161" t="str">
        <f t="shared" si="2"/>
        <v>Jan-2025</v>
      </c>
    </row>
    <row r="162" spans="1:15" x14ac:dyDescent="0.25">
      <c r="A162" t="s">
        <v>323</v>
      </c>
      <c r="B162" s="2">
        <v>45578</v>
      </c>
      <c r="C162" s="2">
        <v>45585</v>
      </c>
      <c r="D162" t="s">
        <v>184</v>
      </c>
      <c r="E162" t="s">
        <v>80</v>
      </c>
      <c r="F162" t="s">
        <v>18</v>
      </c>
      <c r="G162" t="s">
        <v>58</v>
      </c>
      <c r="H162" t="s">
        <v>59</v>
      </c>
      <c r="I162" t="s">
        <v>21</v>
      </c>
      <c r="J162" t="s">
        <v>123</v>
      </c>
      <c r="K162">
        <v>3562.9</v>
      </c>
      <c r="L162">
        <v>2</v>
      </c>
      <c r="M162">
        <v>0</v>
      </c>
      <c r="N162">
        <v>273.49</v>
      </c>
      <c r="O162" t="str">
        <f t="shared" si="2"/>
        <v>Oct-2024</v>
      </c>
    </row>
    <row r="163" spans="1:15" x14ac:dyDescent="0.25">
      <c r="A163" t="s">
        <v>324</v>
      </c>
      <c r="B163" s="2">
        <v>45495</v>
      </c>
      <c r="C163" s="2">
        <v>45500</v>
      </c>
      <c r="D163" t="s">
        <v>275</v>
      </c>
      <c r="E163" t="s">
        <v>17</v>
      </c>
      <c r="F163" t="s">
        <v>33</v>
      </c>
      <c r="G163" t="s">
        <v>141</v>
      </c>
      <c r="H163" t="s">
        <v>142</v>
      </c>
      <c r="I163" t="s">
        <v>40</v>
      </c>
      <c r="J163" t="s">
        <v>176</v>
      </c>
      <c r="K163">
        <v>8.1300000000000008</v>
      </c>
      <c r="L163">
        <v>1</v>
      </c>
      <c r="M163">
        <v>0</v>
      </c>
      <c r="N163">
        <v>0.5</v>
      </c>
      <c r="O163" t="str">
        <f t="shared" si="2"/>
        <v>Jul-2024</v>
      </c>
    </row>
    <row r="164" spans="1:15" x14ac:dyDescent="0.25">
      <c r="A164" t="s">
        <v>325</v>
      </c>
      <c r="B164" s="2">
        <v>45819</v>
      </c>
      <c r="C164" s="2">
        <v>45821</v>
      </c>
      <c r="D164" t="s">
        <v>127</v>
      </c>
      <c r="E164" t="s">
        <v>80</v>
      </c>
      <c r="F164" t="s">
        <v>63</v>
      </c>
      <c r="G164" t="s">
        <v>64</v>
      </c>
      <c r="H164" t="s">
        <v>65</v>
      </c>
      <c r="I164" t="s">
        <v>21</v>
      </c>
      <c r="J164" t="s">
        <v>123</v>
      </c>
      <c r="K164">
        <v>3945.24</v>
      </c>
      <c r="L164">
        <v>6</v>
      </c>
      <c r="M164">
        <v>0</v>
      </c>
      <c r="N164">
        <v>4.28</v>
      </c>
      <c r="O164" t="str">
        <f t="shared" si="2"/>
        <v>Jun-2025</v>
      </c>
    </row>
    <row r="165" spans="1:15" x14ac:dyDescent="0.25">
      <c r="A165" t="s">
        <v>326</v>
      </c>
      <c r="B165" s="2">
        <v>45837</v>
      </c>
      <c r="C165" s="2">
        <v>45841</v>
      </c>
      <c r="D165" t="s">
        <v>122</v>
      </c>
      <c r="E165" t="s">
        <v>80</v>
      </c>
      <c r="F165" t="s">
        <v>63</v>
      </c>
      <c r="G165" t="s">
        <v>106</v>
      </c>
      <c r="H165" t="s">
        <v>107</v>
      </c>
      <c r="I165" t="s">
        <v>40</v>
      </c>
      <c r="J165" t="s">
        <v>176</v>
      </c>
      <c r="K165">
        <v>49.14</v>
      </c>
      <c r="L165">
        <v>5</v>
      </c>
      <c r="M165">
        <v>0.1</v>
      </c>
      <c r="N165">
        <v>14.48</v>
      </c>
      <c r="O165" t="str">
        <f t="shared" si="2"/>
        <v>Jun-2025</v>
      </c>
    </row>
    <row r="166" spans="1:15" x14ac:dyDescent="0.25">
      <c r="A166" t="s">
        <v>327</v>
      </c>
      <c r="B166" s="2">
        <v>45607</v>
      </c>
      <c r="C166" s="2">
        <v>45614</v>
      </c>
      <c r="D166" t="s">
        <v>328</v>
      </c>
      <c r="E166" t="s">
        <v>80</v>
      </c>
      <c r="F166" t="s">
        <v>63</v>
      </c>
      <c r="G166" t="s">
        <v>112</v>
      </c>
      <c r="H166" t="s">
        <v>113</v>
      </c>
      <c r="I166" t="s">
        <v>21</v>
      </c>
      <c r="J166" t="s">
        <v>22</v>
      </c>
      <c r="K166">
        <v>691.86</v>
      </c>
      <c r="L166">
        <v>1</v>
      </c>
      <c r="M166">
        <v>0.15</v>
      </c>
      <c r="N166">
        <v>133.1</v>
      </c>
      <c r="O166" t="str">
        <f t="shared" si="2"/>
        <v>Nov-2024</v>
      </c>
    </row>
    <row r="167" spans="1:15" x14ac:dyDescent="0.25">
      <c r="A167" t="s">
        <v>329</v>
      </c>
      <c r="B167" s="2">
        <v>45936</v>
      </c>
      <c r="C167" s="2">
        <v>45942</v>
      </c>
      <c r="D167" t="s">
        <v>330</v>
      </c>
      <c r="E167" t="s">
        <v>80</v>
      </c>
      <c r="F167" t="s">
        <v>26</v>
      </c>
      <c r="G167" t="s">
        <v>51</v>
      </c>
      <c r="H167" t="s">
        <v>52</v>
      </c>
      <c r="I167" t="s">
        <v>21</v>
      </c>
      <c r="J167" t="s">
        <v>123</v>
      </c>
      <c r="K167">
        <v>8074.85</v>
      </c>
      <c r="L167">
        <v>7</v>
      </c>
      <c r="M167">
        <v>0</v>
      </c>
      <c r="N167">
        <v>458.78</v>
      </c>
      <c r="O167" t="str">
        <f t="shared" si="2"/>
        <v>Oct-2025</v>
      </c>
    </row>
    <row r="168" spans="1:15" x14ac:dyDescent="0.25">
      <c r="A168" t="s">
        <v>331</v>
      </c>
      <c r="B168" s="2">
        <v>45743</v>
      </c>
      <c r="C168" s="2">
        <v>45746</v>
      </c>
      <c r="D168" t="s">
        <v>168</v>
      </c>
      <c r="E168" t="s">
        <v>17</v>
      </c>
      <c r="F168" t="s">
        <v>26</v>
      </c>
      <c r="G168" t="s">
        <v>51</v>
      </c>
      <c r="H168" t="s">
        <v>52</v>
      </c>
      <c r="I168" t="s">
        <v>21</v>
      </c>
      <c r="J168" t="s">
        <v>22</v>
      </c>
      <c r="K168">
        <v>2273.38</v>
      </c>
      <c r="L168">
        <v>7</v>
      </c>
      <c r="M168">
        <v>0.2</v>
      </c>
      <c r="N168">
        <v>252.73</v>
      </c>
      <c r="O168" t="str">
        <f t="shared" si="2"/>
        <v>Mar-2025</v>
      </c>
    </row>
    <row r="169" spans="1:15" x14ac:dyDescent="0.25">
      <c r="A169" t="s">
        <v>332</v>
      </c>
      <c r="B169" s="2">
        <v>45866</v>
      </c>
      <c r="C169" s="2">
        <v>45869</v>
      </c>
      <c r="D169" t="s">
        <v>310</v>
      </c>
      <c r="E169" t="s">
        <v>17</v>
      </c>
      <c r="F169" t="s">
        <v>33</v>
      </c>
      <c r="G169" t="s">
        <v>34</v>
      </c>
      <c r="H169" t="s">
        <v>35</v>
      </c>
      <c r="I169" t="s">
        <v>21</v>
      </c>
      <c r="J169" t="s">
        <v>103</v>
      </c>
      <c r="K169">
        <v>16971.919999999998</v>
      </c>
      <c r="L169">
        <v>8</v>
      </c>
      <c r="M169">
        <v>0.15</v>
      </c>
      <c r="N169">
        <v>2767.23</v>
      </c>
      <c r="O169" t="str">
        <f t="shared" si="2"/>
        <v>Jul-2025</v>
      </c>
    </row>
    <row r="170" spans="1:15" x14ac:dyDescent="0.25">
      <c r="A170" t="s">
        <v>333</v>
      </c>
      <c r="B170" s="2">
        <v>45984</v>
      </c>
      <c r="C170" s="2">
        <v>45991</v>
      </c>
      <c r="D170" t="s">
        <v>334</v>
      </c>
      <c r="E170" t="s">
        <v>25</v>
      </c>
      <c r="F170" t="s">
        <v>26</v>
      </c>
      <c r="G170" t="s">
        <v>96</v>
      </c>
      <c r="H170" t="s">
        <v>97</v>
      </c>
      <c r="I170" t="s">
        <v>21</v>
      </c>
      <c r="J170" t="s">
        <v>60</v>
      </c>
      <c r="K170">
        <v>1111.8800000000001</v>
      </c>
      <c r="L170">
        <v>5</v>
      </c>
      <c r="M170">
        <v>0.15</v>
      </c>
      <c r="N170">
        <v>217.1</v>
      </c>
      <c r="O170" t="str">
        <f t="shared" si="2"/>
        <v>Nov-2025</v>
      </c>
    </row>
    <row r="171" spans="1:15" x14ac:dyDescent="0.25">
      <c r="A171" t="s">
        <v>335</v>
      </c>
      <c r="B171" s="2">
        <v>45587</v>
      </c>
      <c r="C171" s="2">
        <v>45593</v>
      </c>
      <c r="D171" t="s">
        <v>93</v>
      </c>
      <c r="E171" t="s">
        <v>25</v>
      </c>
      <c r="F171" t="s">
        <v>26</v>
      </c>
      <c r="G171" t="s">
        <v>75</v>
      </c>
      <c r="H171" t="s">
        <v>76</v>
      </c>
      <c r="I171" t="s">
        <v>21</v>
      </c>
      <c r="J171" t="s">
        <v>60</v>
      </c>
      <c r="K171">
        <v>560.88</v>
      </c>
      <c r="L171">
        <v>8</v>
      </c>
      <c r="M171">
        <v>0</v>
      </c>
      <c r="N171">
        <v>108.78</v>
      </c>
      <c r="O171" t="str">
        <f t="shared" si="2"/>
        <v>Oct-2024</v>
      </c>
    </row>
    <row r="172" spans="1:15" x14ac:dyDescent="0.25">
      <c r="A172" t="s">
        <v>336</v>
      </c>
      <c r="B172" s="2">
        <v>45441</v>
      </c>
      <c r="C172" s="2">
        <v>45444</v>
      </c>
      <c r="D172" t="s">
        <v>136</v>
      </c>
      <c r="E172" t="s">
        <v>25</v>
      </c>
      <c r="F172" t="s">
        <v>63</v>
      </c>
      <c r="G172" t="s">
        <v>112</v>
      </c>
      <c r="H172" t="s">
        <v>113</v>
      </c>
      <c r="I172" t="s">
        <v>29</v>
      </c>
      <c r="J172" t="s">
        <v>30</v>
      </c>
      <c r="K172">
        <v>31.78</v>
      </c>
      <c r="L172">
        <v>2</v>
      </c>
      <c r="M172">
        <v>0</v>
      </c>
      <c r="N172">
        <v>10.4</v>
      </c>
      <c r="O172" t="str">
        <f t="shared" si="2"/>
        <v>May-2024</v>
      </c>
    </row>
    <row r="173" spans="1:15" x14ac:dyDescent="0.25">
      <c r="A173" t="s">
        <v>337</v>
      </c>
      <c r="B173" s="2">
        <v>45569</v>
      </c>
      <c r="C173" s="2">
        <v>45574</v>
      </c>
      <c r="D173" t="s">
        <v>197</v>
      </c>
      <c r="E173" t="s">
        <v>80</v>
      </c>
      <c r="F173" t="s">
        <v>63</v>
      </c>
      <c r="G173" t="s">
        <v>64</v>
      </c>
      <c r="H173" t="s">
        <v>65</v>
      </c>
      <c r="I173" t="s">
        <v>29</v>
      </c>
      <c r="J173" t="s">
        <v>87</v>
      </c>
      <c r="K173">
        <v>1970.82</v>
      </c>
      <c r="L173">
        <v>3</v>
      </c>
      <c r="M173">
        <v>0</v>
      </c>
      <c r="N173">
        <v>59.2</v>
      </c>
      <c r="O173" t="str">
        <f t="shared" si="2"/>
        <v>Oct-2024</v>
      </c>
    </row>
    <row r="174" spans="1:15" x14ac:dyDescent="0.25">
      <c r="A174" t="s">
        <v>338</v>
      </c>
      <c r="B174" s="2">
        <v>45345</v>
      </c>
      <c r="C174" s="2">
        <v>45346</v>
      </c>
      <c r="D174" t="s">
        <v>186</v>
      </c>
      <c r="E174" t="s">
        <v>17</v>
      </c>
      <c r="F174" t="s">
        <v>26</v>
      </c>
      <c r="G174" t="s">
        <v>90</v>
      </c>
      <c r="H174" t="s">
        <v>91</v>
      </c>
      <c r="I174" t="s">
        <v>29</v>
      </c>
      <c r="J174" t="s">
        <v>87</v>
      </c>
      <c r="K174">
        <v>3445.12</v>
      </c>
      <c r="L174">
        <v>8</v>
      </c>
      <c r="M174">
        <v>0</v>
      </c>
      <c r="N174">
        <v>132.83000000000001</v>
      </c>
      <c r="O174" t="str">
        <f t="shared" si="2"/>
        <v>Feb-2024</v>
      </c>
    </row>
    <row r="175" spans="1:15" x14ac:dyDescent="0.25">
      <c r="A175" t="s">
        <v>339</v>
      </c>
      <c r="B175" s="2">
        <v>45779</v>
      </c>
      <c r="C175" s="2">
        <v>45783</v>
      </c>
      <c r="D175" t="s">
        <v>203</v>
      </c>
      <c r="E175" t="s">
        <v>80</v>
      </c>
      <c r="F175" t="s">
        <v>26</v>
      </c>
      <c r="G175" t="s">
        <v>51</v>
      </c>
      <c r="H175" t="s">
        <v>52</v>
      </c>
      <c r="I175" t="s">
        <v>21</v>
      </c>
      <c r="J175" t="s">
        <v>103</v>
      </c>
      <c r="K175">
        <v>8655.9500000000007</v>
      </c>
      <c r="L175">
        <v>5</v>
      </c>
      <c r="M175">
        <v>0</v>
      </c>
      <c r="N175">
        <v>1173.96</v>
      </c>
      <c r="O175" t="str">
        <f t="shared" si="2"/>
        <v>May-2025</v>
      </c>
    </row>
    <row r="176" spans="1:15" x14ac:dyDescent="0.25">
      <c r="A176" t="s">
        <v>340</v>
      </c>
      <c r="B176" s="2">
        <v>45330</v>
      </c>
      <c r="C176" s="2">
        <v>45332</v>
      </c>
      <c r="D176" t="s">
        <v>341</v>
      </c>
      <c r="E176" t="s">
        <v>80</v>
      </c>
      <c r="F176" t="s">
        <v>18</v>
      </c>
      <c r="G176" t="s">
        <v>19</v>
      </c>
      <c r="H176" t="s">
        <v>20</v>
      </c>
      <c r="I176" t="s">
        <v>21</v>
      </c>
      <c r="J176" t="s">
        <v>103</v>
      </c>
      <c r="K176">
        <v>3658.05</v>
      </c>
      <c r="L176">
        <v>3</v>
      </c>
      <c r="M176">
        <v>0</v>
      </c>
      <c r="N176">
        <v>1277.21</v>
      </c>
      <c r="O176" t="str">
        <f t="shared" si="2"/>
        <v>Feb-2024</v>
      </c>
    </row>
    <row r="177" spans="1:15" x14ac:dyDescent="0.25">
      <c r="A177" t="s">
        <v>342</v>
      </c>
      <c r="B177" s="2">
        <v>45597</v>
      </c>
      <c r="C177" s="2">
        <v>45602</v>
      </c>
      <c r="D177" t="s">
        <v>100</v>
      </c>
      <c r="E177" t="s">
        <v>17</v>
      </c>
      <c r="F177" t="s">
        <v>33</v>
      </c>
      <c r="G177" t="s">
        <v>131</v>
      </c>
      <c r="H177" t="s">
        <v>132</v>
      </c>
      <c r="I177" t="s">
        <v>29</v>
      </c>
      <c r="J177" t="s">
        <v>77</v>
      </c>
      <c r="K177">
        <v>2022.84</v>
      </c>
      <c r="L177">
        <v>6</v>
      </c>
      <c r="M177">
        <v>0</v>
      </c>
      <c r="N177">
        <v>18.34</v>
      </c>
      <c r="O177" t="str">
        <f t="shared" si="2"/>
        <v>Nov-2024</v>
      </c>
    </row>
    <row r="178" spans="1:15" x14ac:dyDescent="0.25">
      <c r="A178" t="s">
        <v>343</v>
      </c>
      <c r="B178" s="2">
        <v>45407</v>
      </c>
      <c r="C178" s="2">
        <v>45410</v>
      </c>
      <c r="D178" t="s">
        <v>279</v>
      </c>
      <c r="E178" t="s">
        <v>17</v>
      </c>
      <c r="F178" t="s">
        <v>33</v>
      </c>
      <c r="G178" t="s">
        <v>38</v>
      </c>
      <c r="H178" t="s">
        <v>39</v>
      </c>
      <c r="I178" t="s">
        <v>21</v>
      </c>
      <c r="J178" t="s">
        <v>123</v>
      </c>
      <c r="K178">
        <v>2407.94</v>
      </c>
      <c r="L178">
        <v>8</v>
      </c>
      <c r="M178">
        <v>0.2</v>
      </c>
      <c r="N178">
        <v>-39.86</v>
      </c>
      <c r="O178" t="str">
        <f t="shared" si="2"/>
        <v>Apr-2024</v>
      </c>
    </row>
    <row r="179" spans="1:15" x14ac:dyDescent="0.25">
      <c r="A179" t="s">
        <v>344</v>
      </c>
      <c r="B179" s="2">
        <v>45873</v>
      </c>
      <c r="C179" s="2">
        <v>45879</v>
      </c>
      <c r="D179" t="s">
        <v>208</v>
      </c>
      <c r="E179" t="s">
        <v>25</v>
      </c>
      <c r="F179" t="s">
        <v>26</v>
      </c>
      <c r="G179" t="s">
        <v>51</v>
      </c>
      <c r="H179" t="s">
        <v>52</v>
      </c>
      <c r="I179" t="s">
        <v>21</v>
      </c>
      <c r="J179" t="s">
        <v>60</v>
      </c>
      <c r="K179">
        <v>585.51</v>
      </c>
      <c r="L179">
        <v>3</v>
      </c>
      <c r="M179">
        <v>0.15</v>
      </c>
      <c r="N179">
        <v>179.66</v>
      </c>
      <c r="O179" t="str">
        <f t="shared" si="2"/>
        <v>Aug-2025</v>
      </c>
    </row>
    <row r="180" spans="1:15" x14ac:dyDescent="0.25">
      <c r="A180" t="s">
        <v>345</v>
      </c>
      <c r="B180" s="2">
        <v>45977</v>
      </c>
      <c r="C180" s="2">
        <v>45978</v>
      </c>
      <c r="D180" t="s">
        <v>43</v>
      </c>
      <c r="E180" t="s">
        <v>25</v>
      </c>
      <c r="F180" t="s">
        <v>33</v>
      </c>
      <c r="G180" t="s">
        <v>131</v>
      </c>
      <c r="H180" t="s">
        <v>132</v>
      </c>
      <c r="I180" t="s">
        <v>21</v>
      </c>
      <c r="J180" t="s">
        <v>60</v>
      </c>
      <c r="K180">
        <v>171.69</v>
      </c>
      <c r="L180">
        <v>3</v>
      </c>
      <c r="M180">
        <v>0.1</v>
      </c>
      <c r="N180">
        <v>25.25</v>
      </c>
      <c r="O180" t="str">
        <f t="shared" si="2"/>
        <v>Nov-2025</v>
      </c>
    </row>
    <row r="181" spans="1:15" x14ac:dyDescent="0.25">
      <c r="A181" t="s">
        <v>346</v>
      </c>
      <c r="B181" s="2">
        <v>45565</v>
      </c>
      <c r="C181" s="2">
        <v>45568</v>
      </c>
      <c r="D181" t="s">
        <v>285</v>
      </c>
      <c r="E181" t="s">
        <v>25</v>
      </c>
      <c r="F181" t="s">
        <v>26</v>
      </c>
      <c r="G181" t="s">
        <v>51</v>
      </c>
      <c r="H181" t="s">
        <v>52</v>
      </c>
      <c r="I181" t="s">
        <v>40</v>
      </c>
      <c r="J181" t="s">
        <v>109</v>
      </c>
      <c r="K181">
        <v>16.489999999999998</v>
      </c>
      <c r="L181">
        <v>1</v>
      </c>
      <c r="M181">
        <v>0</v>
      </c>
      <c r="N181">
        <v>4.0599999999999996</v>
      </c>
      <c r="O181" t="str">
        <f t="shared" si="2"/>
        <v>Sep-2024</v>
      </c>
    </row>
    <row r="182" spans="1:15" x14ac:dyDescent="0.25">
      <c r="A182" t="s">
        <v>347</v>
      </c>
      <c r="B182" s="2">
        <v>45455</v>
      </c>
      <c r="C182" s="2">
        <v>45459</v>
      </c>
      <c r="D182" t="s">
        <v>264</v>
      </c>
      <c r="E182" t="s">
        <v>25</v>
      </c>
      <c r="F182" t="s">
        <v>26</v>
      </c>
      <c r="G182" t="s">
        <v>51</v>
      </c>
      <c r="H182" t="s">
        <v>52</v>
      </c>
      <c r="I182" t="s">
        <v>21</v>
      </c>
      <c r="J182" t="s">
        <v>22</v>
      </c>
      <c r="K182">
        <v>2532.64</v>
      </c>
      <c r="L182">
        <v>5</v>
      </c>
      <c r="M182">
        <v>0.2</v>
      </c>
      <c r="N182">
        <v>215.84</v>
      </c>
      <c r="O182" t="str">
        <f t="shared" si="2"/>
        <v>Jun-2024</v>
      </c>
    </row>
    <row r="183" spans="1:15" x14ac:dyDescent="0.25">
      <c r="A183" t="s">
        <v>348</v>
      </c>
      <c r="B183" s="2">
        <v>45781</v>
      </c>
      <c r="C183" s="2">
        <v>45783</v>
      </c>
      <c r="D183" t="s">
        <v>93</v>
      </c>
      <c r="E183" t="s">
        <v>17</v>
      </c>
      <c r="F183" t="s">
        <v>63</v>
      </c>
      <c r="G183" t="s">
        <v>112</v>
      </c>
      <c r="H183" t="s">
        <v>113</v>
      </c>
      <c r="I183" t="s">
        <v>21</v>
      </c>
      <c r="J183" t="s">
        <v>103</v>
      </c>
      <c r="K183">
        <v>7025.13</v>
      </c>
      <c r="L183">
        <v>6</v>
      </c>
      <c r="M183">
        <v>0.1</v>
      </c>
      <c r="N183">
        <v>1830.62</v>
      </c>
      <c r="O183" t="str">
        <f t="shared" si="2"/>
        <v>May-2025</v>
      </c>
    </row>
    <row r="184" spans="1:15" x14ac:dyDescent="0.25">
      <c r="A184" t="s">
        <v>349</v>
      </c>
      <c r="B184" s="2">
        <v>45988</v>
      </c>
      <c r="C184" s="2">
        <v>45995</v>
      </c>
      <c r="D184" t="s">
        <v>184</v>
      </c>
      <c r="E184" t="s">
        <v>17</v>
      </c>
      <c r="F184" t="s">
        <v>33</v>
      </c>
      <c r="G184" t="s">
        <v>165</v>
      </c>
      <c r="H184" t="s">
        <v>166</v>
      </c>
      <c r="I184" t="s">
        <v>21</v>
      </c>
      <c r="J184" t="s">
        <v>103</v>
      </c>
      <c r="K184">
        <v>2738.34</v>
      </c>
      <c r="L184">
        <v>2</v>
      </c>
      <c r="M184">
        <v>0.15</v>
      </c>
      <c r="N184">
        <v>503.92</v>
      </c>
      <c r="O184" t="str">
        <f t="shared" si="2"/>
        <v>Nov-2025</v>
      </c>
    </row>
    <row r="185" spans="1:15" x14ac:dyDescent="0.25">
      <c r="A185" t="s">
        <v>350</v>
      </c>
      <c r="B185" s="2">
        <v>45809</v>
      </c>
      <c r="C185" s="2">
        <v>45811</v>
      </c>
      <c r="D185" t="s">
        <v>32</v>
      </c>
      <c r="E185" t="s">
        <v>80</v>
      </c>
      <c r="F185" t="s">
        <v>63</v>
      </c>
      <c r="G185" t="s">
        <v>149</v>
      </c>
      <c r="H185" t="s">
        <v>150</v>
      </c>
      <c r="I185" t="s">
        <v>21</v>
      </c>
      <c r="J185" t="s">
        <v>22</v>
      </c>
      <c r="K185">
        <v>1610.4</v>
      </c>
      <c r="L185">
        <v>3</v>
      </c>
      <c r="M185">
        <v>0</v>
      </c>
      <c r="N185">
        <v>239.04</v>
      </c>
      <c r="O185" t="str">
        <f t="shared" si="2"/>
        <v>Jun-2025</v>
      </c>
    </row>
    <row r="186" spans="1:15" x14ac:dyDescent="0.25">
      <c r="A186" t="s">
        <v>351</v>
      </c>
      <c r="B186" s="2">
        <v>45792</v>
      </c>
      <c r="C186" s="2">
        <v>45793</v>
      </c>
      <c r="D186" t="s">
        <v>352</v>
      </c>
      <c r="E186" t="s">
        <v>80</v>
      </c>
      <c r="F186" t="s">
        <v>33</v>
      </c>
      <c r="G186" t="s">
        <v>34</v>
      </c>
      <c r="H186" t="s">
        <v>35</v>
      </c>
      <c r="I186" t="s">
        <v>21</v>
      </c>
      <c r="J186" t="s">
        <v>103</v>
      </c>
      <c r="K186">
        <v>12754.34</v>
      </c>
      <c r="L186">
        <v>8</v>
      </c>
      <c r="M186">
        <v>0.3</v>
      </c>
      <c r="N186">
        <v>850.6</v>
      </c>
      <c r="O186" t="str">
        <f t="shared" si="2"/>
        <v>May-2025</v>
      </c>
    </row>
    <row r="187" spans="1:15" x14ac:dyDescent="0.25">
      <c r="A187" t="s">
        <v>353</v>
      </c>
      <c r="B187" s="2">
        <v>45864</v>
      </c>
      <c r="C187" s="2">
        <v>45868</v>
      </c>
      <c r="D187" t="s">
        <v>354</v>
      </c>
      <c r="E187" t="s">
        <v>17</v>
      </c>
      <c r="F187" t="s">
        <v>26</v>
      </c>
      <c r="G187" t="s">
        <v>27</v>
      </c>
      <c r="H187" t="s">
        <v>28</v>
      </c>
      <c r="I187" t="s">
        <v>40</v>
      </c>
      <c r="J187" t="s">
        <v>109</v>
      </c>
      <c r="K187">
        <v>137.16</v>
      </c>
      <c r="L187">
        <v>5</v>
      </c>
      <c r="M187">
        <v>0.2</v>
      </c>
      <c r="N187">
        <v>7.75</v>
      </c>
      <c r="O187" t="str">
        <f t="shared" si="2"/>
        <v>Jul-2025</v>
      </c>
    </row>
    <row r="188" spans="1:15" x14ac:dyDescent="0.25">
      <c r="A188" t="s">
        <v>355</v>
      </c>
      <c r="B188" s="2">
        <v>45338</v>
      </c>
      <c r="C188" s="2">
        <v>45342</v>
      </c>
      <c r="D188" t="s">
        <v>84</v>
      </c>
      <c r="E188" t="s">
        <v>17</v>
      </c>
      <c r="F188" t="s">
        <v>63</v>
      </c>
      <c r="G188" t="s">
        <v>149</v>
      </c>
      <c r="H188" t="s">
        <v>150</v>
      </c>
      <c r="I188" t="s">
        <v>21</v>
      </c>
      <c r="J188" t="s">
        <v>103</v>
      </c>
      <c r="K188">
        <v>1798.53</v>
      </c>
      <c r="L188">
        <v>2</v>
      </c>
      <c r="M188">
        <v>0.15</v>
      </c>
      <c r="N188">
        <v>626.30999999999995</v>
      </c>
      <c r="O188" t="str">
        <f t="shared" si="2"/>
        <v>Feb-2024</v>
      </c>
    </row>
    <row r="189" spans="1:15" x14ac:dyDescent="0.25">
      <c r="A189" t="s">
        <v>356</v>
      </c>
      <c r="B189" s="2">
        <v>45430</v>
      </c>
      <c r="C189" s="2">
        <v>45437</v>
      </c>
      <c r="D189" t="s">
        <v>203</v>
      </c>
      <c r="E189" t="s">
        <v>17</v>
      </c>
      <c r="F189" t="s">
        <v>18</v>
      </c>
      <c r="G189" t="s">
        <v>58</v>
      </c>
      <c r="H189" t="s">
        <v>59</v>
      </c>
      <c r="I189" t="s">
        <v>29</v>
      </c>
      <c r="J189" t="s">
        <v>77</v>
      </c>
      <c r="K189">
        <v>2471.21</v>
      </c>
      <c r="L189">
        <v>7</v>
      </c>
      <c r="M189">
        <v>0</v>
      </c>
      <c r="N189">
        <v>195.4</v>
      </c>
      <c r="O189" t="str">
        <f t="shared" si="2"/>
        <v>May-2024</v>
      </c>
    </row>
    <row r="190" spans="1:15" x14ac:dyDescent="0.25">
      <c r="A190" t="s">
        <v>357</v>
      </c>
      <c r="B190" s="2">
        <v>45969</v>
      </c>
      <c r="C190" s="2">
        <v>45976</v>
      </c>
      <c r="D190" t="s">
        <v>283</v>
      </c>
      <c r="E190" t="s">
        <v>80</v>
      </c>
      <c r="F190" t="s">
        <v>33</v>
      </c>
      <c r="G190" t="s">
        <v>131</v>
      </c>
      <c r="H190" t="s">
        <v>132</v>
      </c>
      <c r="I190" t="s">
        <v>40</v>
      </c>
      <c r="J190" t="s">
        <v>109</v>
      </c>
      <c r="K190">
        <v>167.34</v>
      </c>
      <c r="L190">
        <v>6</v>
      </c>
      <c r="M190">
        <v>0</v>
      </c>
      <c r="N190">
        <v>17.329999999999998</v>
      </c>
      <c r="O190" t="str">
        <f t="shared" si="2"/>
        <v>Nov-2025</v>
      </c>
    </row>
    <row r="191" spans="1:15" x14ac:dyDescent="0.25">
      <c r="A191" t="s">
        <v>358</v>
      </c>
      <c r="B191" s="2">
        <v>45315</v>
      </c>
      <c r="C191" s="2">
        <v>45318</v>
      </c>
      <c r="D191" t="s">
        <v>122</v>
      </c>
      <c r="E191" t="s">
        <v>17</v>
      </c>
      <c r="F191" t="s">
        <v>33</v>
      </c>
      <c r="G191" t="s">
        <v>165</v>
      </c>
      <c r="H191" t="s">
        <v>166</v>
      </c>
      <c r="I191" t="s">
        <v>29</v>
      </c>
      <c r="J191" t="s">
        <v>87</v>
      </c>
      <c r="K191">
        <v>2798.88</v>
      </c>
      <c r="L191">
        <v>7</v>
      </c>
      <c r="M191">
        <v>0.15</v>
      </c>
      <c r="N191">
        <v>-1.94</v>
      </c>
      <c r="O191" t="str">
        <f t="shared" si="2"/>
        <v>Jan-2024</v>
      </c>
    </row>
    <row r="192" spans="1:15" x14ac:dyDescent="0.25">
      <c r="A192" t="s">
        <v>359</v>
      </c>
      <c r="B192" s="2">
        <v>45485</v>
      </c>
      <c r="C192" s="2">
        <v>45491</v>
      </c>
      <c r="D192" t="s">
        <v>127</v>
      </c>
      <c r="E192" t="s">
        <v>25</v>
      </c>
      <c r="F192" t="s">
        <v>26</v>
      </c>
      <c r="G192" t="s">
        <v>90</v>
      </c>
      <c r="H192" t="s">
        <v>91</v>
      </c>
      <c r="I192" t="s">
        <v>40</v>
      </c>
      <c r="J192" t="s">
        <v>98</v>
      </c>
      <c r="K192">
        <v>108.81</v>
      </c>
      <c r="L192">
        <v>1</v>
      </c>
      <c r="M192">
        <v>0.3</v>
      </c>
      <c r="N192">
        <v>26.99</v>
      </c>
      <c r="O192" t="str">
        <f t="shared" si="2"/>
        <v>Jul-2024</v>
      </c>
    </row>
    <row r="193" spans="1:15" x14ac:dyDescent="0.25">
      <c r="A193" t="s">
        <v>360</v>
      </c>
      <c r="B193" s="2">
        <v>45326</v>
      </c>
      <c r="C193" s="2">
        <v>45330</v>
      </c>
      <c r="D193" t="s">
        <v>239</v>
      </c>
      <c r="E193" t="s">
        <v>80</v>
      </c>
      <c r="F193" t="s">
        <v>18</v>
      </c>
      <c r="G193" t="s">
        <v>46</v>
      </c>
      <c r="H193" t="s">
        <v>47</v>
      </c>
      <c r="I193" t="s">
        <v>29</v>
      </c>
      <c r="J193" t="s">
        <v>55</v>
      </c>
      <c r="K193">
        <v>390.85</v>
      </c>
      <c r="L193">
        <v>1</v>
      </c>
      <c r="M193">
        <v>0</v>
      </c>
      <c r="N193">
        <v>106.37</v>
      </c>
      <c r="O193" t="str">
        <f t="shared" si="2"/>
        <v>Feb-2024</v>
      </c>
    </row>
    <row r="194" spans="1:15" x14ac:dyDescent="0.25">
      <c r="A194" t="s">
        <v>361</v>
      </c>
      <c r="B194" s="2">
        <v>45435</v>
      </c>
      <c r="C194" s="2">
        <v>45440</v>
      </c>
      <c r="D194" t="s">
        <v>362</v>
      </c>
      <c r="E194" t="s">
        <v>17</v>
      </c>
      <c r="F194" t="s">
        <v>33</v>
      </c>
      <c r="G194" t="s">
        <v>131</v>
      </c>
      <c r="H194" t="s">
        <v>132</v>
      </c>
      <c r="I194" t="s">
        <v>29</v>
      </c>
      <c r="J194" t="s">
        <v>87</v>
      </c>
      <c r="K194">
        <v>2505.41</v>
      </c>
      <c r="L194">
        <v>4</v>
      </c>
      <c r="M194">
        <v>0.3</v>
      </c>
      <c r="N194">
        <v>173.2</v>
      </c>
      <c r="O194" t="str">
        <f t="shared" ref="O194:O257" si="3">TEXT(B194,"mmm-yyyy")</f>
        <v>May-2024</v>
      </c>
    </row>
    <row r="195" spans="1:15" x14ac:dyDescent="0.25">
      <c r="A195" t="s">
        <v>363</v>
      </c>
      <c r="B195" s="2">
        <v>45438</v>
      </c>
      <c r="C195" s="2">
        <v>45444</v>
      </c>
      <c r="D195" t="s">
        <v>285</v>
      </c>
      <c r="E195" t="s">
        <v>25</v>
      </c>
      <c r="F195" t="s">
        <v>63</v>
      </c>
      <c r="G195" t="s">
        <v>106</v>
      </c>
      <c r="H195" t="s">
        <v>107</v>
      </c>
      <c r="I195" t="s">
        <v>21</v>
      </c>
      <c r="J195" t="s">
        <v>60</v>
      </c>
      <c r="K195">
        <v>1128.1199999999999</v>
      </c>
      <c r="L195">
        <v>7</v>
      </c>
      <c r="M195">
        <v>0</v>
      </c>
      <c r="N195">
        <v>149.53</v>
      </c>
      <c r="O195" t="str">
        <f t="shared" si="3"/>
        <v>May-2024</v>
      </c>
    </row>
    <row r="196" spans="1:15" x14ac:dyDescent="0.25">
      <c r="A196" t="s">
        <v>364</v>
      </c>
      <c r="B196" s="2">
        <v>45950</v>
      </c>
      <c r="C196" s="2">
        <v>45956</v>
      </c>
      <c r="D196" t="s">
        <v>365</v>
      </c>
      <c r="E196" t="s">
        <v>25</v>
      </c>
      <c r="F196" t="s">
        <v>26</v>
      </c>
      <c r="G196" t="s">
        <v>96</v>
      </c>
      <c r="H196" t="s">
        <v>97</v>
      </c>
      <c r="I196" t="s">
        <v>21</v>
      </c>
      <c r="J196" t="s">
        <v>123</v>
      </c>
      <c r="K196">
        <v>3590.21</v>
      </c>
      <c r="L196">
        <v>6</v>
      </c>
      <c r="M196">
        <v>0.2</v>
      </c>
      <c r="N196">
        <v>14.8</v>
      </c>
      <c r="O196" t="str">
        <f t="shared" si="3"/>
        <v>Oct-2025</v>
      </c>
    </row>
    <row r="197" spans="1:15" x14ac:dyDescent="0.25">
      <c r="A197" t="s">
        <v>366</v>
      </c>
      <c r="B197" s="2">
        <v>45776</v>
      </c>
      <c r="C197" s="2">
        <v>45778</v>
      </c>
      <c r="D197" t="s">
        <v>362</v>
      </c>
      <c r="E197" t="s">
        <v>80</v>
      </c>
      <c r="F197" t="s">
        <v>26</v>
      </c>
      <c r="G197" t="s">
        <v>75</v>
      </c>
      <c r="H197" t="s">
        <v>76</v>
      </c>
      <c r="I197" t="s">
        <v>40</v>
      </c>
      <c r="J197" t="s">
        <v>41</v>
      </c>
      <c r="K197">
        <v>75.36</v>
      </c>
      <c r="L197">
        <v>5</v>
      </c>
      <c r="M197">
        <v>0.3</v>
      </c>
      <c r="N197">
        <v>19.760000000000002</v>
      </c>
      <c r="O197" t="str">
        <f t="shared" si="3"/>
        <v>Apr-2025</v>
      </c>
    </row>
    <row r="198" spans="1:15" x14ac:dyDescent="0.25">
      <c r="A198" t="s">
        <v>367</v>
      </c>
      <c r="B198" s="2">
        <v>45834</v>
      </c>
      <c r="C198" s="2">
        <v>45836</v>
      </c>
      <c r="D198" t="s">
        <v>328</v>
      </c>
      <c r="E198" t="s">
        <v>80</v>
      </c>
      <c r="F198" t="s">
        <v>33</v>
      </c>
      <c r="G198" t="s">
        <v>34</v>
      </c>
      <c r="H198" t="s">
        <v>35</v>
      </c>
      <c r="I198" t="s">
        <v>21</v>
      </c>
      <c r="J198" t="s">
        <v>123</v>
      </c>
      <c r="K198">
        <v>3801.55</v>
      </c>
      <c r="L198">
        <v>5</v>
      </c>
      <c r="M198">
        <v>0</v>
      </c>
      <c r="N198">
        <v>-26.86</v>
      </c>
      <c r="O198" t="str">
        <f t="shared" si="3"/>
        <v>Jun-2025</v>
      </c>
    </row>
    <row r="199" spans="1:15" x14ac:dyDescent="0.25">
      <c r="A199" t="s">
        <v>368</v>
      </c>
      <c r="B199" s="2">
        <v>45487</v>
      </c>
      <c r="C199" s="2">
        <v>45488</v>
      </c>
      <c r="D199" t="s">
        <v>341</v>
      </c>
      <c r="E199" t="s">
        <v>80</v>
      </c>
      <c r="F199" t="s">
        <v>18</v>
      </c>
      <c r="G199" t="s">
        <v>58</v>
      </c>
      <c r="H199" t="s">
        <v>59</v>
      </c>
      <c r="I199" t="s">
        <v>40</v>
      </c>
      <c r="J199" t="s">
        <v>48</v>
      </c>
      <c r="K199">
        <v>8.5399999999999991</v>
      </c>
      <c r="L199">
        <v>1</v>
      </c>
      <c r="M199">
        <v>0.3</v>
      </c>
      <c r="N199">
        <v>0.61</v>
      </c>
      <c r="O199" t="str">
        <f t="shared" si="3"/>
        <v>Jul-2024</v>
      </c>
    </row>
    <row r="200" spans="1:15" x14ac:dyDescent="0.25">
      <c r="A200" t="s">
        <v>369</v>
      </c>
      <c r="B200" s="2">
        <v>45508</v>
      </c>
      <c r="C200" s="2">
        <v>45510</v>
      </c>
      <c r="D200" t="s">
        <v>130</v>
      </c>
      <c r="E200" t="s">
        <v>17</v>
      </c>
      <c r="F200" t="s">
        <v>26</v>
      </c>
      <c r="G200" t="s">
        <v>96</v>
      </c>
      <c r="H200" t="s">
        <v>97</v>
      </c>
      <c r="I200" t="s">
        <v>29</v>
      </c>
      <c r="J200" t="s">
        <v>77</v>
      </c>
      <c r="K200">
        <v>775.12</v>
      </c>
      <c r="L200">
        <v>2</v>
      </c>
      <c r="M200">
        <v>0.2</v>
      </c>
      <c r="N200">
        <v>61.97</v>
      </c>
      <c r="O200" t="str">
        <f t="shared" si="3"/>
        <v>Aug-2024</v>
      </c>
    </row>
    <row r="201" spans="1:15" x14ac:dyDescent="0.25">
      <c r="A201" t="s">
        <v>370</v>
      </c>
      <c r="B201" s="2">
        <v>45857</v>
      </c>
      <c r="C201" s="2">
        <v>45860</v>
      </c>
      <c r="D201" t="s">
        <v>136</v>
      </c>
      <c r="E201" t="s">
        <v>17</v>
      </c>
      <c r="F201" t="s">
        <v>33</v>
      </c>
      <c r="G201" t="s">
        <v>38</v>
      </c>
      <c r="H201" t="s">
        <v>39</v>
      </c>
      <c r="I201" t="s">
        <v>21</v>
      </c>
      <c r="J201" t="s">
        <v>103</v>
      </c>
      <c r="K201">
        <v>12638.62</v>
      </c>
      <c r="L201">
        <v>7</v>
      </c>
      <c r="M201">
        <v>0.1</v>
      </c>
      <c r="N201">
        <v>2655.31</v>
      </c>
      <c r="O201" t="str">
        <f t="shared" si="3"/>
        <v>Jul-2025</v>
      </c>
    </row>
    <row r="202" spans="1:15" x14ac:dyDescent="0.25">
      <c r="A202" t="s">
        <v>371</v>
      </c>
      <c r="B202" s="2">
        <v>45769</v>
      </c>
      <c r="C202" s="2">
        <v>45770</v>
      </c>
      <c r="D202" t="s">
        <v>189</v>
      </c>
      <c r="E202" t="s">
        <v>25</v>
      </c>
      <c r="F202" t="s">
        <v>63</v>
      </c>
      <c r="G202" t="s">
        <v>112</v>
      </c>
      <c r="H202" t="s">
        <v>113</v>
      </c>
      <c r="I202" t="s">
        <v>40</v>
      </c>
      <c r="J202" t="s">
        <v>98</v>
      </c>
      <c r="K202">
        <v>910.22</v>
      </c>
      <c r="L202">
        <v>8</v>
      </c>
      <c r="M202">
        <v>0.3</v>
      </c>
      <c r="N202">
        <v>274.81</v>
      </c>
      <c r="O202" t="str">
        <f t="shared" si="3"/>
        <v>Apr-2025</v>
      </c>
    </row>
    <row r="203" spans="1:15" x14ac:dyDescent="0.25">
      <c r="A203" t="s">
        <v>372</v>
      </c>
      <c r="B203" s="2">
        <v>45518</v>
      </c>
      <c r="C203" s="2">
        <v>45524</v>
      </c>
      <c r="D203" t="s">
        <v>373</v>
      </c>
      <c r="E203" t="s">
        <v>80</v>
      </c>
      <c r="F203" t="s">
        <v>26</v>
      </c>
      <c r="G203" t="s">
        <v>75</v>
      </c>
      <c r="H203" t="s">
        <v>76</v>
      </c>
      <c r="I203" t="s">
        <v>40</v>
      </c>
      <c r="J203" t="s">
        <v>109</v>
      </c>
      <c r="K203">
        <v>38.25</v>
      </c>
      <c r="L203">
        <v>5</v>
      </c>
      <c r="M203">
        <v>0.15</v>
      </c>
      <c r="N203">
        <v>12.64</v>
      </c>
      <c r="O203" t="str">
        <f t="shared" si="3"/>
        <v>Aug-2024</v>
      </c>
    </row>
    <row r="204" spans="1:15" x14ac:dyDescent="0.25">
      <c r="A204" t="s">
        <v>374</v>
      </c>
      <c r="B204" s="2">
        <v>45680</v>
      </c>
      <c r="C204" s="2">
        <v>45685</v>
      </c>
      <c r="D204" t="s">
        <v>375</v>
      </c>
      <c r="E204" t="s">
        <v>17</v>
      </c>
      <c r="F204" t="s">
        <v>33</v>
      </c>
      <c r="G204" t="s">
        <v>141</v>
      </c>
      <c r="H204" t="s">
        <v>142</v>
      </c>
      <c r="I204" t="s">
        <v>29</v>
      </c>
      <c r="J204" t="s">
        <v>87</v>
      </c>
      <c r="K204">
        <v>5213.49</v>
      </c>
      <c r="L204">
        <v>8</v>
      </c>
      <c r="M204">
        <v>0.15</v>
      </c>
      <c r="N204">
        <v>182.99</v>
      </c>
      <c r="O204" t="str">
        <f t="shared" si="3"/>
        <v>Jan-2025</v>
      </c>
    </row>
    <row r="205" spans="1:15" x14ac:dyDescent="0.25">
      <c r="A205" t="s">
        <v>376</v>
      </c>
      <c r="B205" s="2">
        <v>45652</v>
      </c>
      <c r="C205" s="2">
        <v>45654</v>
      </c>
      <c r="D205" t="s">
        <v>214</v>
      </c>
      <c r="E205" t="s">
        <v>17</v>
      </c>
      <c r="F205" t="s">
        <v>63</v>
      </c>
      <c r="G205" t="s">
        <v>112</v>
      </c>
      <c r="H205" t="s">
        <v>113</v>
      </c>
      <c r="I205" t="s">
        <v>40</v>
      </c>
      <c r="J205" t="s">
        <v>109</v>
      </c>
      <c r="K205">
        <v>69.760000000000005</v>
      </c>
      <c r="L205">
        <v>8</v>
      </c>
      <c r="M205">
        <v>0</v>
      </c>
      <c r="N205">
        <v>22.68</v>
      </c>
      <c r="O205" t="str">
        <f t="shared" si="3"/>
        <v>Dec-2024</v>
      </c>
    </row>
    <row r="206" spans="1:15" x14ac:dyDescent="0.25">
      <c r="A206" t="s">
        <v>377</v>
      </c>
      <c r="B206" s="2">
        <v>45341</v>
      </c>
      <c r="C206" s="2">
        <v>45348</v>
      </c>
      <c r="D206" t="s">
        <v>378</v>
      </c>
      <c r="E206" t="s">
        <v>80</v>
      </c>
      <c r="F206" t="s">
        <v>18</v>
      </c>
      <c r="G206" t="s">
        <v>71</v>
      </c>
      <c r="H206" t="s">
        <v>72</v>
      </c>
      <c r="I206" t="s">
        <v>29</v>
      </c>
      <c r="J206" t="s">
        <v>55</v>
      </c>
      <c r="K206">
        <v>174.97</v>
      </c>
      <c r="L206">
        <v>3</v>
      </c>
      <c r="M206">
        <v>0.3</v>
      </c>
      <c r="N206">
        <v>41.85</v>
      </c>
      <c r="O206" t="str">
        <f t="shared" si="3"/>
        <v>Feb-2024</v>
      </c>
    </row>
    <row r="207" spans="1:15" x14ac:dyDescent="0.25">
      <c r="A207" t="s">
        <v>379</v>
      </c>
      <c r="B207" s="2">
        <v>45674</v>
      </c>
      <c r="C207" s="2">
        <v>45675</v>
      </c>
      <c r="D207" t="s">
        <v>74</v>
      </c>
      <c r="E207" t="s">
        <v>25</v>
      </c>
      <c r="F207" t="s">
        <v>18</v>
      </c>
      <c r="G207" t="s">
        <v>46</v>
      </c>
      <c r="H207" t="s">
        <v>47</v>
      </c>
      <c r="I207" t="s">
        <v>29</v>
      </c>
      <c r="J207" t="s">
        <v>87</v>
      </c>
      <c r="K207">
        <v>3803.33</v>
      </c>
      <c r="L207">
        <v>8</v>
      </c>
      <c r="M207">
        <v>0.2</v>
      </c>
      <c r="N207">
        <v>51.04</v>
      </c>
      <c r="O207" t="str">
        <f t="shared" si="3"/>
        <v>Jan-2025</v>
      </c>
    </row>
    <row r="208" spans="1:15" x14ac:dyDescent="0.25">
      <c r="A208" t="s">
        <v>380</v>
      </c>
      <c r="B208" s="2">
        <v>45834</v>
      </c>
      <c r="C208" s="2">
        <v>45840</v>
      </c>
      <c r="D208" t="s">
        <v>62</v>
      </c>
      <c r="E208" t="s">
        <v>17</v>
      </c>
      <c r="F208" t="s">
        <v>18</v>
      </c>
      <c r="G208" t="s">
        <v>71</v>
      </c>
      <c r="H208" t="s">
        <v>72</v>
      </c>
      <c r="I208" t="s">
        <v>21</v>
      </c>
      <c r="J208" t="s">
        <v>123</v>
      </c>
      <c r="K208">
        <v>2835.3</v>
      </c>
      <c r="L208">
        <v>5</v>
      </c>
      <c r="M208">
        <v>0</v>
      </c>
      <c r="N208">
        <v>43.35</v>
      </c>
      <c r="O208" t="str">
        <f t="shared" si="3"/>
        <v>Jun-2025</v>
      </c>
    </row>
    <row r="209" spans="1:15" x14ac:dyDescent="0.25">
      <c r="A209" t="s">
        <v>381</v>
      </c>
      <c r="B209" s="2">
        <v>45538</v>
      </c>
      <c r="C209" s="2">
        <v>45540</v>
      </c>
      <c r="D209" t="s">
        <v>219</v>
      </c>
      <c r="E209" t="s">
        <v>17</v>
      </c>
      <c r="F209" t="s">
        <v>33</v>
      </c>
      <c r="G209" t="s">
        <v>38</v>
      </c>
      <c r="H209" t="s">
        <v>39</v>
      </c>
      <c r="I209" t="s">
        <v>29</v>
      </c>
      <c r="J209" t="s">
        <v>55</v>
      </c>
      <c r="K209">
        <v>1408.01</v>
      </c>
      <c r="L209">
        <v>5</v>
      </c>
      <c r="M209">
        <v>0.3</v>
      </c>
      <c r="N209">
        <v>220.12</v>
      </c>
      <c r="O209" t="str">
        <f t="shared" si="3"/>
        <v>Sep-2024</v>
      </c>
    </row>
    <row r="210" spans="1:15" x14ac:dyDescent="0.25">
      <c r="A210" t="s">
        <v>382</v>
      </c>
      <c r="B210" s="2">
        <v>45541</v>
      </c>
      <c r="C210" s="2">
        <v>45547</v>
      </c>
      <c r="D210" t="s">
        <v>214</v>
      </c>
      <c r="E210" t="s">
        <v>80</v>
      </c>
      <c r="F210" t="s">
        <v>33</v>
      </c>
      <c r="G210" t="s">
        <v>34</v>
      </c>
      <c r="H210" t="s">
        <v>35</v>
      </c>
      <c r="I210" t="s">
        <v>40</v>
      </c>
      <c r="J210" t="s">
        <v>109</v>
      </c>
      <c r="K210">
        <v>20.54</v>
      </c>
      <c r="L210">
        <v>2</v>
      </c>
      <c r="M210">
        <v>0.2</v>
      </c>
      <c r="N210">
        <v>7.14</v>
      </c>
      <c r="O210" t="str">
        <f t="shared" si="3"/>
        <v>Sep-2024</v>
      </c>
    </row>
    <row r="211" spans="1:15" x14ac:dyDescent="0.25">
      <c r="A211" t="s">
        <v>383</v>
      </c>
      <c r="B211" s="2">
        <v>45779</v>
      </c>
      <c r="C211" s="2">
        <v>45780</v>
      </c>
      <c r="D211" t="s">
        <v>205</v>
      </c>
      <c r="E211" t="s">
        <v>80</v>
      </c>
      <c r="F211" t="s">
        <v>18</v>
      </c>
      <c r="G211" t="s">
        <v>19</v>
      </c>
      <c r="H211" t="s">
        <v>20</v>
      </c>
      <c r="I211" t="s">
        <v>40</v>
      </c>
      <c r="J211" t="s">
        <v>109</v>
      </c>
      <c r="K211">
        <v>97.68</v>
      </c>
      <c r="L211">
        <v>3</v>
      </c>
      <c r="M211">
        <v>0</v>
      </c>
      <c r="N211">
        <v>19.53</v>
      </c>
      <c r="O211" t="str">
        <f t="shared" si="3"/>
        <v>May-2025</v>
      </c>
    </row>
    <row r="212" spans="1:15" x14ac:dyDescent="0.25">
      <c r="A212" t="s">
        <v>384</v>
      </c>
      <c r="B212" s="2">
        <v>45527</v>
      </c>
      <c r="C212" s="2">
        <v>45529</v>
      </c>
      <c r="D212" t="s">
        <v>219</v>
      </c>
      <c r="E212" t="s">
        <v>17</v>
      </c>
      <c r="F212" t="s">
        <v>33</v>
      </c>
      <c r="G212" t="s">
        <v>141</v>
      </c>
      <c r="H212" t="s">
        <v>142</v>
      </c>
      <c r="I212" t="s">
        <v>21</v>
      </c>
      <c r="J212" t="s">
        <v>22</v>
      </c>
      <c r="K212">
        <v>6528.64</v>
      </c>
      <c r="L212">
        <v>8</v>
      </c>
      <c r="M212">
        <v>0</v>
      </c>
      <c r="N212">
        <v>417.63</v>
      </c>
      <c r="O212" t="str">
        <f t="shared" si="3"/>
        <v>Aug-2024</v>
      </c>
    </row>
    <row r="213" spans="1:15" x14ac:dyDescent="0.25">
      <c r="A213" t="s">
        <v>385</v>
      </c>
      <c r="B213" s="2">
        <v>45308</v>
      </c>
      <c r="C213" s="2">
        <v>45310</v>
      </c>
      <c r="D213" t="s">
        <v>386</v>
      </c>
      <c r="E213" t="s">
        <v>25</v>
      </c>
      <c r="F213" t="s">
        <v>18</v>
      </c>
      <c r="G213" t="s">
        <v>81</v>
      </c>
      <c r="H213" t="s">
        <v>82</v>
      </c>
      <c r="I213" t="s">
        <v>21</v>
      </c>
      <c r="J213" t="s">
        <v>22</v>
      </c>
      <c r="K213">
        <v>3842.86</v>
      </c>
      <c r="L213">
        <v>7</v>
      </c>
      <c r="M213">
        <v>0</v>
      </c>
      <c r="N213">
        <v>537.16999999999996</v>
      </c>
      <c r="O213" t="str">
        <f t="shared" si="3"/>
        <v>Jan-2024</v>
      </c>
    </row>
    <row r="214" spans="1:15" x14ac:dyDescent="0.25">
      <c r="A214" t="s">
        <v>387</v>
      </c>
      <c r="B214" s="2">
        <v>45435</v>
      </c>
      <c r="C214" s="2">
        <v>45442</v>
      </c>
      <c r="D214" t="s">
        <v>375</v>
      </c>
      <c r="E214" t="s">
        <v>25</v>
      </c>
      <c r="F214" t="s">
        <v>26</v>
      </c>
      <c r="G214" t="s">
        <v>27</v>
      </c>
      <c r="H214" t="s">
        <v>28</v>
      </c>
      <c r="I214" t="s">
        <v>40</v>
      </c>
      <c r="J214" t="s">
        <v>176</v>
      </c>
      <c r="K214">
        <v>25.23</v>
      </c>
      <c r="L214">
        <v>2</v>
      </c>
      <c r="M214">
        <v>0.15</v>
      </c>
      <c r="N214">
        <v>6.9</v>
      </c>
      <c r="O214" t="str">
        <f t="shared" si="3"/>
        <v>May-2024</v>
      </c>
    </row>
    <row r="215" spans="1:15" x14ac:dyDescent="0.25">
      <c r="A215" t="s">
        <v>388</v>
      </c>
      <c r="B215" s="2">
        <v>45640</v>
      </c>
      <c r="C215" s="2">
        <v>45645</v>
      </c>
      <c r="D215" t="s">
        <v>16</v>
      </c>
      <c r="E215" t="s">
        <v>17</v>
      </c>
      <c r="F215" t="s">
        <v>63</v>
      </c>
      <c r="G215" t="s">
        <v>149</v>
      </c>
      <c r="H215" t="s">
        <v>150</v>
      </c>
      <c r="I215" t="s">
        <v>29</v>
      </c>
      <c r="J215" t="s">
        <v>30</v>
      </c>
      <c r="K215">
        <v>576.53</v>
      </c>
      <c r="L215">
        <v>7</v>
      </c>
      <c r="M215">
        <v>0.3</v>
      </c>
      <c r="N215">
        <v>85.28</v>
      </c>
      <c r="O215" t="str">
        <f t="shared" si="3"/>
        <v>Dec-2024</v>
      </c>
    </row>
    <row r="216" spans="1:15" x14ac:dyDescent="0.25">
      <c r="A216" t="s">
        <v>389</v>
      </c>
      <c r="B216" s="2">
        <v>45676</v>
      </c>
      <c r="C216" s="2">
        <v>45680</v>
      </c>
      <c r="D216" t="s">
        <v>158</v>
      </c>
      <c r="E216" t="s">
        <v>80</v>
      </c>
      <c r="F216" t="s">
        <v>63</v>
      </c>
      <c r="G216" t="s">
        <v>64</v>
      </c>
      <c r="H216" t="s">
        <v>65</v>
      </c>
      <c r="I216" t="s">
        <v>40</v>
      </c>
      <c r="J216" t="s">
        <v>41</v>
      </c>
      <c r="K216">
        <v>43.89</v>
      </c>
      <c r="L216">
        <v>7</v>
      </c>
      <c r="M216">
        <v>0</v>
      </c>
      <c r="N216">
        <v>12.36</v>
      </c>
      <c r="O216" t="str">
        <f t="shared" si="3"/>
        <v>Jan-2025</v>
      </c>
    </row>
    <row r="217" spans="1:15" x14ac:dyDescent="0.25">
      <c r="A217" t="s">
        <v>390</v>
      </c>
      <c r="B217" s="2">
        <v>45449</v>
      </c>
      <c r="C217" s="2">
        <v>45453</v>
      </c>
      <c r="D217" t="s">
        <v>283</v>
      </c>
      <c r="E217" t="s">
        <v>25</v>
      </c>
      <c r="F217" t="s">
        <v>63</v>
      </c>
      <c r="G217" t="s">
        <v>67</v>
      </c>
      <c r="H217" t="s">
        <v>68</v>
      </c>
      <c r="I217" t="s">
        <v>21</v>
      </c>
      <c r="J217" t="s">
        <v>22</v>
      </c>
      <c r="K217">
        <v>1571.83</v>
      </c>
      <c r="L217">
        <v>3</v>
      </c>
      <c r="M217">
        <v>0.2</v>
      </c>
      <c r="N217">
        <v>262.32</v>
      </c>
      <c r="O217" t="str">
        <f t="shared" si="3"/>
        <v>Jun-2024</v>
      </c>
    </row>
    <row r="218" spans="1:15" x14ac:dyDescent="0.25">
      <c r="A218" t="s">
        <v>391</v>
      </c>
      <c r="B218" s="2">
        <v>45660</v>
      </c>
      <c r="C218" s="2">
        <v>45667</v>
      </c>
      <c r="D218" t="s">
        <v>148</v>
      </c>
      <c r="E218" t="s">
        <v>25</v>
      </c>
      <c r="F218" t="s">
        <v>63</v>
      </c>
      <c r="G218" t="s">
        <v>149</v>
      </c>
      <c r="H218" t="s">
        <v>150</v>
      </c>
      <c r="I218" t="s">
        <v>29</v>
      </c>
      <c r="J218" t="s">
        <v>55</v>
      </c>
      <c r="K218">
        <v>660.84</v>
      </c>
      <c r="L218">
        <v>3</v>
      </c>
      <c r="M218">
        <v>0</v>
      </c>
      <c r="N218">
        <v>70.19</v>
      </c>
      <c r="O218" t="str">
        <f t="shared" si="3"/>
        <v>Jan-2025</v>
      </c>
    </row>
    <row r="219" spans="1:15" x14ac:dyDescent="0.25">
      <c r="A219" t="s">
        <v>392</v>
      </c>
      <c r="B219" s="2">
        <v>45383</v>
      </c>
      <c r="C219" s="2">
        <v>45386</v>
      </c>
      <c r="D219" t="s">
        <v>393</v>
      </c>
      <c r="E219" t="s">
        <v>17</v>
      </c>
      <c r="F219" t="s">
        <v>33</v>
      </c>
      <c r="G219" t="s">
        <v>165</v>
      </c>
      <c r="H219" t="s">
        <v>166</v>
      </c>
      <c r="I219" t="s">
        <v>21</v>
      </c>
      <c r="J219" t="s">
        <v>123</v>
      </c>
      <c r="K219">
        <v>4377.1099999999997</v>
      </c>
      <c r="L219">
        <v>6</v>
      </c>
      <c r="M219">
        <v>0.3</v>
      </c>
      <c r="N219">
        <v>0.35</v>
      </c>
      <c r="O219" t="str">
        <f t="shared" si="3"/>
        <v>Apr-2024</v>
      </c>
    </row>
    <row r="220" spans="1:15" x14ac:dyDescent="0.25">
      <c r="A220" t="s">
        <v>394</v>
      </c>
      <c r="B220" s="2">
        <v>45540</v>
      </c>
      <c r="C220" s="2">
        <v>45545</v>
      </c>
      <c r="D220" t="s">
        <v>105</v>
      </c>
      <c r="E220" t="s">
        <v>80</v>
      </c>
      <c r="F220" t="s">
        <v>63</v>
      </c>
      <c r="G220" t="s">
        <v>64</v>
      </c>
      <c r="H220" t="s">
        <v>65</v>
      </c>
      <c r="I220" t="s">
        <v>40</v>
      </c>
      <c r="J220" t="s">
        <v>48</v>
      </c>
      <c r="K220">
        <v>152.6</v>
      </c>
      <c r="L220">
        <v>7</v>
      </c>
      <c r="M220">
        <v>0</v>
      </c>
      <c r="N220">
        <v>13.99</v>
      </c>
      <c r="O220" t="str">
        <f t="shared" si="3"/>
        <v>Sep-2024</v>
      </c>
    </row>
    <row r="221" spans="1:15" x14ac:dyDescent="0.25">
      <c r="A221" t="s">
        <v>395</v>
      </c>
      <c r="B221" s="2">
        <v>45737</v>
      </c>
      <c r="C221" s="2">
        <v>45740</v>
      </c>
      <c r="D221" t="s">
        <v>95</v>
      </c>
      <c r="E221" t="s">
        <v>17</v>
      </c>
      <c r="F221" t="s">
        <v>63</v>
      </c>
      <c r="G221" t="s">
        <v>112</v>
      </c>
      <c r="H221" t="s">
        <v>113</v>
      </c>
      <c r="I221" t="s">
        <v>40</v>
      </c>
      <c r="J221" t="s">
        <v>41</v>
      </c>
      <c r="K221">
        <v>65.459999999999994</v>
      </c>
      <c r="L221">
        <v>8</v>
      </c>
      <c r="M221">
        <v>0.3</v>
      </c>
      <c r="N221">
        <v>4.78</v>
      </c>
      <c r="O221" t="str">
        <f t="shared" si="3"/>
        <v>Mar-2025</v>
      </c>
    </row>
    <row r="222" spans="1:15" x14ac:dyDescent="0.25">
      <c r="A222" t="s">
        <v>396</v>
      </c>
      <c r="B222" s="2">
        <v>45492</v>
      </c>
      <c r="C222" s="2">
        <v>45496</v>
      </c>
      <c r="D222" t="s">
        <v>321</v>
      </c>
      <c r="E222" t="s">
        <v>80</v>
      </c>
      <c r="F222" t="s">
        <v>63</v>
      </c>
      <c r="G222" t="s">
        <v>67</v>
      </c>
      <c r="H222" t="s">
        <v>68</v>
      </c>
      <c r="I222" t="s">
        <v>21</v>
      </c>
      <c r="J222" t="s">
        <v>123</v>
      </c>
      <c r="K222">
        <v>1409.25</v>
      </c>
      <c r="L222">
        <v>5</v>
      </c>
      <c r="M222">
        <v>0</v>
      </c>
      <c r="N222">
        <v>103.36</v>
      </c>
      <c r="O222" t="str">
        <f t="shared" si="3"/>
        <v>Jul-2024</v>
      </c>
    </row>
    <row r="223" spans="1:15" x14ac:dyDescent="0.25">
      <c r="A223" t="s">
        <v>397</v>
      </c>
      <c r="B223" s="2">
        <v>45732</v>
      </c>
      <c r="C223" s="2">
        <v>45739</v>
      </c>
      <c r="D223" t="s">
        <v>182</v>
      </c>
      <c r="E223" t="s">
        <v>25</v>
      </c>
      <c r="F223" t="s">
        <v>63</v>
      </c>
      <c r="G223" t="s">
        <v>106</v>
      </c>
      <c r="H223" t="s">
        <v>107</v>
      </c>
      <c r="I223" t="s">
        <v>40</v>
      </c>
      <c r="J223" t="s">
        <v>98</v>
      </c>
      <c r="K223">
        <v>499.41</v>
      </c>
      <c r="L223">
        <v>3</v>
      </c>
      <c r="M223">
        <v>0</v>
      </c>
      <c r="N223">
        <v>73.010000000000005</v>
      </c>
      <c r="O223" t="str">
        <f t="shared" si="3"/>
        <v>Mar-2025</v>
      </c>
    </row>
    <row r="224" spans="1:15" x14ac:dyDescent="0.25">
      <c r="A224" t="s">
        <v>398</v>
      </c>
      <c r="B224" s="2">
        <v>45590</v>
      </c>
      <c r="C224" s="2">
        <v>45596</v>
      </c>
      <c r="D224" t="s">
        <v>136</v>
      </c>
      <c r="E224" t="s">
        <v>25</v>
      </c>
      <c r="F224" t="s">
        <v>26</v>
      </c>
      <c r="G224" t="s">
        <v>96</v>
      </c>
      <c r="H224" t="s">
        <v>97</v>
      </c>
      <c r="I224" t="s">
        <v>40</v>
      </c>
      <c r="J224" t="s">
        <v>41</v>
      </c>
      <c r="K224">
        <v>122.26</v>
      </c>
      <c r="L224">
        <v>8</v>
      </c>
      <c r="M224">
        <v>0.15</v>
      </c>
      <c r="N224">
        <v>34.79</v>
      </c>
      <c r="O224" t="str">
        <f t="shared" si="3"/>
        <v>Oct-2024</v>
      </c>
    </row>
    <row r="225" spans="1:15" x14ac:dyDescent="0.25">
      <c r="A225" t="s">
        <v>399</v>
      </c>
      <c r="B225" s="2">
        <v>45869</v>
      </c>
      <c r="C225" s="2">
        <v>45871</v>
      </c>
      <c r="D225" t="s">
        <v>275</v>
      </c>
      <c r="E225" t="s">
        <v>17</v>
      </c>
      <c r="F225" t="s">
        <v>63</v>
      </c>
      <c r="G225" t="s">
        <v>64</v>
      </c>
      <c r="H225" t="s">
        <v>65</v>
      </c>
      <c r="I225" t="s">
        <v>40</v>
      </c>
      <c r="J225" t="s">
        <v>109</v>
      </c>
      <c r="K225">
        <v>73.03</v>
      </c>
      <c r="L225">
        <v>3</v>
      </c>
      <c r="M225">
        <v>0.2</v>
      </c>
      <c r="N225">
        <v>20.47</v>
      </c>
      <c r="O225" t="str">
        <f t="shared" si="3"/>
        <v>Jul-2025</v>
      </c>
    </row>
    <row r="226" spans="1:15" x14ac:dyDescent="0.25">
      <c r="A226" t="s">
        <v>400</v>
      </c>
      <c r="B226" s="2">
        <v>46001</v>
      </c>
      <c r="C226" s="2">
        <v>46002</v>
      </c>
      <c r="D226" t="s">
        <v>182</v>
      </c>
      <c r="E226" t="s">
        <v>25</v>
      </c>
      <c r="F226" t="s">
        <v>18</v>
      </c>
      <c r="G226" t="s">
        <v>58</v>
      </c>
      <c r="H226" t="s">
        <v>59</v>
      </c>
      <c r="I226" t="s">
        <v>21</v>
      </c>
      <c r="J226" t="s">
        <v>103</v>
      </c>
      <c r="K226">
        <v>11769.63</v>
      </c>
      <c r="L226">
        <v>7</v>
      </c>
      <c r="M226">
        <v>0.2</v>
      </c>
      <c r="N226">
        <v>2351.4699999999998</v>
      </c>
      <c r="O226" t="str">
        <f t="shared" si="3"/>
        <v>Dec-2025</v>
      </c>
    </row>
    <row r="227" spans="1:15" x14ac:dyDescent="0.25">
      <c r="A227" t="s">
        <v>401</v>
      </c>
      <c r="B227" s="2">
        <v>45678</v>
      </c>
      <c r="C227" s="2">
        <v>45679</v>
      </c>
      <c r="D227" t="s">
        <v>352</v>
      </c>
      <c r="E227" t="s">
        <v>25</v>
      </c>
      <c r="F227" t="s">
        <v>63</v>
      </c>
      <c r="G227" t="s">
        <v>67</v>
      </c>
      <c r="H227" t="s">
        <v>68</v>
      </c>
      <c r="I227" t="s">
        <v>40</v>
      </c>
      <c r="J227" t="s">
        <v>41</v>
      </c>
      <c r="K227">
        <v>83.84</v>
      </c>
      <c r="L227">
        <v>8</v>
      </c>
      <c r="M227">
        <v>0.15</v>
      </c>
      <c r="N227">
        <v>14.27</v>
      </c>
      <c r="O227" t="str">
        <f t="shared" si="3"/>
        <v>Jan-2025</v>
      </c>
    </row>
    <row r="228" spans="1:15" x14ac:dyDescent="0.25">
      <c r="A228" t="s">
        <v>402</v>
      </c>
      <c r="B228" s="2">
        <v>45900</v>
      </c>
      <c r="C228" s="2">
        <v>45906</v>
      </c>
      <c r="D228" t="s">
        <v>164</v>
      </c>
      <c r="E228" t="s">
        <v>80</v>
      </c>
      <c r="F228" t="s">
        <v>33</v>
      </c>
      <c r="G228" t="s">
        <v>165</v>
      </c>
      <c r="H228" t="s">
        <v>166</v>
      </c>
      <c r="I228" t="s">
        <v>29</v>
      </c>
      <c r="J228" t="s">
        <v>77</v>
      </c>
      <c r="K228">
        <v>650.86</v>
      </c>
      <c r="L228">
        <v>2</v>
      </c>
      <c r="M228">
        <v>0.3</v>
      </c>
      <c r="N228">
        <v>-11.54</v>
      </c>
      <c r="O228" t="str">
        <f t="shared" si="3"/>
        <v>Aug-2025</v>
      </c>
    </row>
    <row r="229" spans="1:15" x14ac:dyDescent="0.25">
      <c r="A229" t="s">
        <v>403</v>
      </c>
      <c r="B229" s="2">
        <v>45985</v>
      </c>
      <c r="C229" s="2">
        <v>45991</v>
      </c>
      <c r="D229" t="s">
        <v>354</v>
      </c>
      <c r="E229" t="s">
        <v>80</v>
      </c>
      <c r="F229" t="s">
        <v>63</v>
      </c>
      <c r="G229" t="s">
        <v>67</v>
      </c>
      <c r="H229" t="s">
        <v>68</v>
      </c>
      <c r="I229" t="s">
        <v>21</v>
      </c>
      <c r="J229" t="s">
        <v>22</v>
      </c>
      <c r="K229">
        <v>1636.66</v>
      </c>
      <c r="L229">
        <v>6</v>
      </c>
      <c r="M229">
        <v>0.3</v>
      </c>
      <c r="N229">
        <v>293.19</v>
      </c>
      <c r="O229" t="str">
        <f t="shared" si="3"/>
        <v>Nov-2025</v>
      </c>
    </row>
    <row r="230" spans="1:15" x14ac:dyDescent="0.25">
      <c r="A230" t="s">
        <v>404</v>
      </c>
      <c r="B230" s="2">
        <v>45823</v>
      </c>
      <c r="C230" s="2">
        <v>45828</v>
      </c>
      <c r="D230" t="s">
        <v>189</v>
      </c>
      <c r="E230" t="s">
        <v>80</v>
      </c>
      <c r="F230" t="s">
        <v>18</v>
      </c>
      <c r="G230" t="s">
        <v>19</v>
      </c>
      <c r="H230" t="s">
        <v>20</v>
      </c>
      <c r="I230" t="s">
        <v>40</v>
      </c>
      <c r="J230" t="s">
        <v>41</v>
      </c>
      <c r="K230">
        <v>55.26</v>
      </c>
      <c r="L230">
        <v>4</v>
      </c>
      <c r="M230">
        <v>0.1</v>
      </c>
      <c r="N230">
        <v>8.9700000000000006</v>
      </c>
      <c r="O230" t="str">
        <f t="shared" si="3"/>
        <v>Jun-2025</v>
      </c>
    </row>
    <row r="231" spans="1:15" x14ac:dyDescent="0.25">
      <c r="A231" t="s">
        <v>405</v>
      </c>
      <c r="B231" s="2">
        <v>45786</v>
      </c>
      <c r="C231" s="2">
        <v>45787</v>
      </c>
      <c r="D231" t="s">
        <v>269</v>
      </c>
      <c r="E231" t="s">
        <v>17</v>
      </c>
      <c r="F231" t="s">
        <v>33</v>
      </c>
      <c r="G231" t="s">
        <v>165</v>
      </c>
      <c r="H231" t="s">
        <v>166</v>
      </c>
      <c r="I231" t="s">
        <v>21</v>
      </c>
      <c r="J231" t="s">
        <v>103</v>
      </c>
      <c r="K231">
        <v>1899.9</v>
      </c>
      <c r="L231">
        <v>2</v>
      </c>
      <c r="M231">
        <v>0</v>
      </c>
      <c r="N231">
        <v>568.82000000000005</v>
      </c>
      <c r="O231" t="str">
        <f t="shared" si="3"/>
        <v>May-2025</v>
      </c>
    </row>
    <row r="232" spans="1:15" x14ac:dyDescent="0.25">
      <c r="A232" t="s">
        <v>406</v>
      </c>
      <c r="B232" s="2">
        <v>45825</v>
      </c>
      <c r="C232" s="2">
        <v>45829</v>
      </c>
      <c r="D232" t="s">
        <v>214</v>
      </c>
      <c r="E232" t="s">
        <v>17</v>
      </c>
      <c r="F232" t="s">
        <v>26</v>
      </c>
      <c r="G232" t="s">
        <v>75</v>
      </c>
      <c r="H232" t="s">
        <v>76</v>
      </c>
      <c r="I232" t="s">
        <v>40</v>
      </c>
      <c r="J232" t="s">
        <v>98</v>
      </c>
      <c r="K232">
        <v>137.12</v>
      </c>
      <c r="L232">
        <v>2</v>
      </c>
      <c r="M232">
        <v>0.1</v>
      </c>
      <c r="N232">
        <v>36.56</v>
      </c>
      <c r="O232" t="str">
        <f t="shared" si="3"/>
        <v>Jun-2025</v>
      </c>
    </row>
    <row r="233" spans="1:15" x14ac:dyDescent="0.25">
      <c r="A233" t="s">
        <v>407</v>
      </c>
      <c r="B233" s="2">
        <v>45409</v>
      </c>
      <c r="C233" s="2">
        <v>45410</v>
      </c>
      <c r="D233" t="s">
        <v>373</v>
      </c>
      <c r="E233" t="s">
        <v>80</v>
      </c>
      <c r="F233" t="s">
        <v>33</v>
      </c>
      <c r="G233" t="s">
        <v>141</v>
      </c>
      <c r="H233" t="s">
        <v>142</v>
      </c>
      <c r="I233" t="s">
        <v>29</v>
      </c>
      <c r="J233" t="s">
        <v>77</v>
      </c>
      <c r="K233">
        <v>701.06</v>
      </c>
      <c r="L233">
        <v>2</v>
      </c>
      <c r="M233">
        <v>0.2</v>
      </c>
      <c r="N233">
        <v>37.86</v>
      </c>
      <c r="O233" t="str">
        <f t="shared" si="3"/>
        <v>Apr-2024</v>
      </c>
    </row>
    <row r="234" spans="1:15" x14ac:dyDescent="0.25">
      <c r="A234" t="s">
        <v>408</v>
      </c>
      <c r="B234" s="2">
        <v>45728</v>
      </c>
      <c r="C234" s="2">
        <v>45732</v>
      </c>
      <c r="D234" t="s">
        <v>375</v>
      </c>
      <c r="E234" t="s">
        <v>80</v>
      </c>
      <c r="F234" t="s">
        <v>26</v>
      </c>
      <c r="G234" t="s">
        <v>27</v>
      </c>
      <c r="H234" t="s">
        <v>28</v>
      </c>
      <c r="I234" t="s">
        <v>29</v>
      </c>
      <c r="J234" t="s">
        <v>87</v>
      </c>
      <c r="K234">
        <v>1598.69</v>
      </c>
      <c r="L234">
        <v>7</v>
      </c>
      <c r="M234">
        <v>0.2</v>
      </c>
      <c r="N234">
        <v>-41.6</v>
      </c>
      <c r="O234" t="str">
        <f t="shared" si="3"/>
        <v>Mar-2025</v>
      </c>
    </row>
    <row r="235" spans="1:15" x14ac:dyDescent="0.25">
      <c r="A235" t="s">
        <v>409</v>
      </c>
      <c r="B235" s="2">
        <v>45731</v>
      </c>
      <c r="C235" s="2">
        <v>45735</v>
      </c>
      <c r="D235" t="s">
        <v>308</v>
      </c>
      <c r="E235" t="s">
        <v>80</v>
      </c>
      <c r="F235" t="s">
        <v>33</v>
      </c>
      <c r="G235" t="s">
        <v>131</v>
      </c>
      <c r="H235" t="s">
        <v>132</v>
      </c>
      <c r="I235" t="s">
        <v>29</v>
      </c>
      <c r="J235" t="s">
        <v>87</v>
      </c>
      <c r="K235">
        <v>414.24</v>
      </c>
      <c r="L235">
        <v>4</v>
      </c>
      <c r="M235">
        <v>0</v>
      </c>
      <c r="N235">
        <v>-5.72</v>
      </c>
      <c r="O235" t="str">
        <f t="shared" si="3"/>
        <v>Mar-2025</v>
      </c>
    </row>
    <row r="236" spans="1:15" x14ac:dyDescent="0.25">
      <c r="A236" t="s">
        <v>410</v>
      </c>
      <c r="B236" s="2">
        <v>45493</v>
      </c>
      <c r="C236" s="2">
        <v>45497</v>
      </c>
      <c r="D236" t="s">
        <v>275</v>
      </c>
      <c r="E236" t="s">
        <v>25</v>
      </c>
      <c r="F236" t="s">
        <v>18</v>
      </c>
      <c r="G236" t="s">
        <v>71</v>
      </c>
      <c r="H236" t="s">
        <v>72</v>
      </c>
      <c r="I236" t="s">
        <v>29</v>
      </c>
      <c r="J236" t="s">
        <v>87</v>
      </c>
      <c r="K236">
        <v>1299.8900000000001</v>
      </c>
      <c r="L236">
        <v>8</v>
      </c>
      <c r="M236">
        <v>0.15</v>
      </c>
      <c r="N236">
        <v>98.23</v>
      </c>
      <c r="O236" t="str">
        <f t="shared" si="3"/>
        <v>Jul-2024</v>
      </c>
    </row>
    <row r="237" spans="1:15" x14ac:dyDescent="0.25">
      <c r="A237" t="s">
        <v>411</v>
      </c>
      <c r="B237" s="2">
        <v>45408</v>
      </c>
      <c r="C237" s="2">
        <v>45411</v>
      </c>
      <c r="D237" t="s">
        <v>136</v>
      </c>
      <c r="E237" t="s">
        <v>80</v>
      </c>
      <c r="F237" t="s">
        <v>63</v>
      </c>
      <c r="G237" t="s">
        <v>106</v>
      </c>
      <c r="H237" t="s">
        <v>107</v>
      </c>
      <c r="I237" t="s">
        <v>40</v>
      </c>
      <c r="J237" t="s">
        <v>176</v>
      </c>
      <c r="K237">
        <v>40.32</v>
      </c>
      <c r="L237">
        <v>8</v>
      </c>
      <c r="M237">
        <v>0.15</v>
      </c>
      <c r="N237">
        <v>4.0999999999999996</v>
      </c>
      <c r="O237" t="str">
        <f t="shared" si="3"/>
        <v>Apr-2024</v>
      </c>
    </row>
    <row r="238" spans="1:15" x14ac:dyDescent="0.25">
      <c r="A238" t="s">
        <v>412</v>
      </c>
      <c r="B238" s="2">
        <v>45612</v>
      </c>
      <c r="C238" s="2">
        <v>45613</v>
      </c>
      <c r="D238" t="s">
        <v>54</v>
      </c>
      <c r="E238" t="s">
        <v>17</v>
      </c>
      <c r="F238" t="s">
        <v>63</v>
      </c>
      <c r="G238" t="s">
        <v>106</v>
      </c>
      <c r="H238" t="s">
        <v>107</v>
      </c>
      <c r="I238" t="s">
        <v>21</v>
      </c>
      <c r="J238" t="s">
        <v>22</v>
      </c>
      <c r="K238">
        <v>505.58</v>
      </c>
      <c r="L238">
        <v>2</v>
      </c>
      <c r="M238">
        <v>0</v>
      </c>
      <c r="N238">
        <v>81.900000000000006</v>
      </c>
      <c r="O238" t="str">
        <f t="shared" si="3"/>
        <v>Nov-2024</v>
      </c>
    </row>
    <row r="239" spans="1:15" x14ac:dyDescent="0.25">
      <c r="A239" t="s">
        <v>413</v>
      </c>
      <c r="B239" s="2">
        <v>45880</v>
      </c>
      <c r="C239" s="2">
        <v>45884</v>
      </c>
      <c r="D239" t="s">
        <v>321</v>
      </c>
      <c r="E239" t="s">
        <v>17</v>
      </c>
      <c r="F239" t="s">
        <v>26</v>
      </c>
      <c r="G239" t="s">
        <v>27</v>
      </c>
      <c r="H239" t="s">
        <v>28</v>
      </c>
      <c r="I239" t="s">
        <v>40</v>
      </c>
      <c r="J239" t="s">
        <v>109</v>
      </c>
      <c r="K239">
        <v>142.78</v>
      </c>
      <c r="L239">
        <v>8</v>
      </c>
      <c r="M239">
        <v>0.2</v>
      </c>
      <c r="N239">
        <v>30.16</v>
      </c>
      <c r="O239" t="str">
        <f t="shared" si="3"/>
        <v>Aug-2025</v>
      </c>
    </row>
    <row r="240" spans="1:15" x14ac:dyDescent="0.25">
      <c r="A240" t="s">
        <v>414</v>
      </c>
      <c r="B240" s="2">
        <v>45483</v>
      </c>
      <c r="C240" s="2">
        <v>45486</v>
      </c>
      <c r="D240" t="s">
        <v>115</v>
      </c>
      <c r="E240" t="s">
        <v>17</v>
      </c>
      <c r="F240" t="s">
        <v>26</v>
      </c>
      <c r="G240" t="s">
        <v>27</v>
      </c>
      <c r="H240" t="s">
        <v>28</v>
      </c>
      <c r="I240" t="s">
        <v>29</v>
      </c>
      <c r="J240" t="s">
        <v>30</v>
      </c>
      <c r="K240">
        <v>89.52</v>
      </c>
      <c r="L240">
        <v>1</v>
      </c>
      <c r="M240">
        <v>0.3</v>
      </c>
      <c r="N240">
        <v>14.12</v>
      </c>
      <c r="O240" t="str">
        <f t="shared" si="3"/>
        <v>Jul-2024</v>
      </c>
    </row>
    <row r="241" spans="1:15" x14ac:dyDescent="0.25">
      <c r="A241" t="s">
        <v>415</v>
      </c>
      <c r="B241" s="2">
        <v>45867</v>
      </c>
      <c r="C241" s="2">
        <v>45872</v>
      </c>
      <c r="D241" t="s">
        <v>378</v>
      </c>
      <c r="E241" t="s">
        <v>25</v>
      </c>
      <c r="F241" t="s">
        <v>18</v>
      </c>
      <c r="G241" t="s">
        <v>58</v>
      </c>
      <c r="H241" t="s">
        <v>59</v>
      </c>
      <c r="I241" t="s">
        <v>29</v>
      </c>
      <c r="J241" t="s">
        <v>87</v>
      </c>
      <c r="K241">
        <v>3485.78</v>
      </c>
      <c r="L241">
        <v>7</v>
      </c>
      <c r="M241">
        <v>0.2</v>
      </c>
      <c r="N241">
        <v>48.54</v>
      </c>
      <c r="O241" t="str">
        <f t="shared" si="3"/>
        <v>Jul-2025</v>
      </c>
    </row>
    <row r="242" spans="1:15" x14ac:dyDescent="0.25">
      <c r="A242" t="s">
        <v>416</v>
      </c>
      <c r="B242" s="2">
        <v>45517</v>
      </c>
      <c r="C242" s="2">
        <v>45520</v>
      </c>
      <c r="D242" t="s">
        <v>354</v>
      </c>
      <c r="E242" t="s">
        <v>17</v>
      </c>
      <c r="F242" t="s">
        <v>33</v>
      </c>
      <c r="G242" t="s">
        <v>131</v>
      </c>
      <c r="H242" t="s">
        <v>132</v>
      </c>
      <c r="I242" t="s">
        <v>29</v>
      </c>
      <c r="J242" t="s">
        <v>55</v>
      </c>
      <c r="K242">
        <v>329.8</v>
      </c>
      <c r="L242">
        <v>4</v>
      </c>
      <c r="M242">
        <v>0.15</v>
      </c>
      <c r="N242">
        <v>45.05</v>
      </c>
      <c r="O242" t="str">
        <f t="shared" si="3"/>
        <v>Aug-2024</v>
      </c>
    </row>
    <row r="243" spans="1:15" x14ac:dyDescent="0.25">
      <c r="A243" t="s">
        <v>417</v>
      </c>
      <c r="B243" s="2">
        <v>45407</v>
      </c>
      <c r="C243" s="2">
        <v>45412</v>
      </c>
      <c r="D243" t="s">
        <v>304</v>
      </c>
      <c r="E243" t="s">
        <v>80</v>
      </c>
      <c r="F243" t="s">
        <v>33</v>
      </c>
      <c r="G243" t="s">
        <v>165</v>
      </c>
      <c r="H243" t="s">
        <v>166</v>
      </c>
      <c r="I243" t="s">
        <v>21</v>
      </c>
      <c r="J243" t="s">
        <v>123</v>
      </c>
      <c r="K243">
        <v>1500.16</v>
      </c>
      <c r="L243">
        <v>6</v>
      </c>
      <c r="M243">
        <v>0.15</v>
      </c>
      <c r="N243">
        <v>85.42</v>
      </c>
      <c r="O243" t="str">
        <f t="shared" si="3"/>
        <v>Apr-2024</v>
      </c>
    </row>
    <row r="244" spans="1:15" x14ac:dyDescent="0.25">
      <c r="A244" t="s">
        <v>418</v>
      </c>
      <c r="B244" s="2">
        <v>45961</v>
      </c>
      <c r="C244" s="2">
        <v>45968</v>
      </c>
      <c r="D244" t="s">
        <v>175</v>
      </c>
      <c r="E244" t="s">
        <v>17</v>
      </c>
      <c r="F244" t="s">
        <v>18</v>
      </c>
      <c r="G244" t="s">
        <v>58</v>
      </c>
      <c r="H244" t="s">
        <v>59</v>
      </c>
      <c r="I244" t="s">
        <v>21</v>
      </c>
      <c r="J244" t="s">
        <v>103</v>
      </c>
      <c r="K244">
        <v>760.11</v>
      </c>
      <c r="L244">
        <v>1</v>
      </c>
      <c r="M244">
        <v>0.1</v>
      </c>
      <c r="N244">
        <v>97.94</v>
      </c>
      <c r="O244" t="str">
        <f t="shared" si="3"/>
        <v>Oct-2025</v>
      </c>
    </row>
    <row r="245" spans="1:15" x14ac:dyDescent="0.25">
      <c r="A245" t="s">
        <v>419</v>
      </c>
      <c r="B245" s="2">
        <v>45894</v>
      </c>
      <c r="C245" s="2">
        <v>45900</v>
      </c>
      <c r="D245" t="s">
        <v>420</v>
      </c>
      <c r="E245" t="s">
        <v>80</v>
      </c>
      <c r="F245" t="s">
        <v>18</v>
      </c>
      <c r="G245" t="s">
        <v>58</v>
      </c>
      <c r="H245" t="s">
        <v>59</v>
      </c>
      <c r="I245" t="s">
        <v>29</v>
      </c>
      <c r="J245" t="s">
        <v>87</v>
      </c>
      <c r="K245">
        <v>2663.5</v>
      </c>
      <c r="L245">
        <v>7</v>
      </c>
      <c r="M245">
        <v>0</v>
      </c>
      <c r="N245">
        <v>80.17</v>
      </c>
      <c r="O245" t="str">
        <f t="shared" si="3"/>
        <v>Aug-2025</v>
      </c>
    </row>
    <row r="246" spans="1:15" x14ac:dyDescent="0.25">
      <c r="A246" t="s">
        <v>421</v>
      </c>
      <c r="B246" s="2">
        <v>45903</v>
      </c>
      <c r="C246" s="2">
        <v>45908</v>
      </c>
      <c r="D246" t="s">
        <v>341</v>
      </c>
      <c r="E246" t="s">
        <v>25</v>
      </c>
      <c r="F246" t="s">
        <v>26</v>
      </c>
      <c r="G246" t="s">
        <v>90</v>
      </c>
      <c r="H246" t="s">
        <v>91</v>
      </c>
      <c r="I246" t="s">
        <v>29</v>
      </c>
      <c r="J246" t="s">
        <v>77</v>
      </c>
      <c r="K246">
        <v>795.15</v>
      </c>
      <c r="L246">
        <v>5</v>
      </c>
      <c r="M246">
        <v>0</v>
      </c>
      <c r="N246">
        <v>19.45</v>
      </c>
      <c r="O246" t="str">
        <f t="shared" si="3"/>
        <v>Sep-2025</v>
      </c>
    </row>
    <row r="247" spans="1:15" x14ac:dyDescent="0.25">
      <c r="A247" t="s">
        <v>422</v>
      </c>
      <c r="B247" s="2">
        <v>45421</v>
      </c>
      <c r="C247" s="2">
        <v>45427</v>
      </c>
      <c r="D247" t="s">
        <v>37</v>
      </c>
      <c r="E247" t="s">
        <v>80</v>
      </c>
      <c r="F247" t="s">
        <v>18</v>
      </c>
      <c r="G247" t="s">
        <v>46</v>
      </c>
      <c r="H247" t="s">
        <v>47</v>
      </c>
      <c r="I247" t="s">
        <v>40</v>
      </c>
      <c r="J247" t="s">
        <v>48</v>
      </c>
      <c r="K247">
        <v>139.63999999999999</v>
      </c>
      <c r="L247">
        <v>4</v>
      </c>
      <c r="M247">
        <v>0</v>
      </c>
      <c r="N247">
        <v>36.78</v>
      </c>
      <c r="O247" t="str">
        <f t="shared" si="3"/>
        <v>May-2024</v>
      </c>
    </row>
    <row r="248" spans="1:15" x14ac:dyDescent="0.25">
      <c r="A248" t="s">
        <v>423</v>
      </c>
      <c r="B248" s="2">
        <v>45567</v>
      </c>
      <c r="C248" s="2">
        <v>45573</v>
      </c>
      <c r="D248" t="s">
        <v>171</v>
      </c>
      <c r="E248" t="s">
        <v>80</v>
      </c>
      <c r="F248" t="s">
        <v>26</v>
      </c>
      <c r="G248" t="s">
        <v>96</v>
      </c>
      <c r="H248" t="s">
        <v>97</v>
      </c>
      <c r="I248" t="s">
        <v>40</v>
      </c>
      <c r="J248" t="s">
        <v>41</v>
      </c>
      <c r="K248">
        <v>92.24</v>
      </c>
      <c r="L248">
        <v>8</v>
      </c>
      <c r="M248">
        <v>0</v>
      </c>
      <c r="N248">
        <v>22.15</v>
      </c>
      <c r="O248" t="str">
        <f t="shared" si="3"/>
        <v>Oct-2024</v>
      </c>
    </row>
    <row r="249" spans="1:15" x14ac:dyDescent="0.25">
      <c r="A249" t="s">
        <v>424</v>
      </c>
      <c r="B249" s="2">
        <v>45757</v>
      </c>
      <c r="C249" s="2">
        <v>45761</v>
      </c>
      <c r="D249" t="s">
        <v>162</v>
      </c>
      <c r="E249" t="s">
        <v>25</v>
      </c>
      <c r="F249" t="s">
        <v>18</v>
      </c>
      <c r="G249" t="s">
        <v>58</v>
      </c>
      <c r="H249" t="s">
        <v>59</v>
      </c>
      <c r="I249" t="s">
        <v>21</v>
      </c>
      <c r="J249" t="s">
        <v>60</v>
      </c>
      <c r="K249">
        <v>73.44</v>
      </c>
      <c r="L249">
        <v>1</v>
      </c>
      <c r="M249">
        <v>0.3</v>
      </c>
      <c r="N249">
        <v>20.73</v>
      </c>
      <c r="O249" t="str">
        <f t="shared" si="3"/>
        <v>Apr-2025</v>
      </c>
    </row>
    <row r="250" spans="1:15" x14ac:dyDescent="0.25">
      <c r="A250" t="s">
        <v>425</v>
      </c>
      <c r="B250" s="2">
        <v>45699</v>
      </c>
      <c r="C250" s="2">
        <v>45701</v>
      </c>
      <c r="D250" t="s">
        <v>95</v>
      </c>
      <c r="E250" t="s">
        <v>80</v>
      </c>
      <c r="F250" t="s">
        <v>18</v>
      </c>
      <c r="G250" t="s">
        <v>58</v>
      </c>
      <c r="H250" t="s">
        <v>59</v>
      </c>
      <c r="I250" t="s">
        <v>21</v>
      </c>
      <c r="J250" t="s">
        <v>60</v>
      </c>
      <c r="K250">
        <v>1046.74</v>
      </c>
      <c r="L250">
        <v>4</v>
      </c>
      <c r="M250">
        <v>0.1</v>
      </c>
      <c r="N250">
        <v>136.66</v>
      </c>
      <c r="O250" t="str">
        <f t="shared" si="3"/>
        <v>Feb-2025</v>
      </c>
    </row>
    <row r="251" spans="1:15" x14ac:dyDescent="0.25">
      <c r="A251" t="s">
        <v>426</v>
      </c>
      <c r="B251" s="2">
        <v>45643</v>
      </c>
      <c r="C251" s="2">
        <v>45649</v>
      </c>
      <c r="D251" t="s">
        <v>354</v>
      </c>
      <c r="E251" t="s">
        <v>25</v>
      </c>
      <c r="F251" t="s">
        <v>63</v>
      </c>
      <c r="G251" t="s">
        <v>112</v>
      </c>
      <c r="H251" t="s">
        <v>113</v>
      </c>
      <c r="I251" t="s">
        <v>21</v>
      </c>
      <c r="J251" t="s">
        <v>103</v>
      </c>
      <c r="K251">
        <v>1976.96</v>
      </c>
      <c r="L251">
        <v>1</v>
      </c>
      <c r="M251">
        <v>0</v>
      </c>
      <c r="N251">
        <v>470.23</v>
      </c>
      <c r="O251" t="str">
        <f t="shared" si="3"/>
        <v>Dec-2024</v>
      </c>
    </row>
    <row r="252" spans="1:15" x14ac:dyDescent="0.25">
      <c r="A252" t="s">
        <v>427</v>
      </c>
      <c r="B252" s="2">
        <v>45292</v>
      </c>
      <c r="C252" s="2">
        <v>45296</v>
      </c>
      <c r="D252" t="s">
        <v>182</v>
      </c>
      <c r="E252" t="s">
        <v>25</v>
      </c>
      <c r="F252" t="s">
        <v>33</v>
      </c>
      <c r="G252" t="s">
        <v>34</v>
      </c>
      <c r="H252" t="s">
        <v>35</v>
      </c>
      <c r="I252" t="s">
        <v>29</v>
      </c>
      <c r="J252" t="s">
        <v>87</v>
      </c>
      <c r="K252">
        <v>628.44000000000005</v>
      </c>
      <c r="L252">
        <v>3</v>
      </c>
      <c r="M252">
        <v>0.2</v>
      </c>
      <c r="N252">
        <v>-6.76</v>
      </c>
      <c r="O252" t="str">
        <f t="shared" si="3"/>
        <v>Jan-2024</v>
      </c>
    </row>
    <row r="253" spans="1:15" x14ac:dyDescent="0.25">
      <c r="A253" t="s">
        <v>428</v>
      </c>
      <c r="B253" s="2">
        <v>45672</v>
      </c>
      <c r="C253" s="2">
        <v>45678</v>
      </c>
      <c r="D253" t="s">
        <v>102</v>
      </c>
      <c r="E253" t="s">
        <v>17</v>
      </c>
      <c r="F253" t="s">
        <v>63</v>
      </c>
      <c r="G253" t="s">
        <v>149</v>
      </c>
      <c r="H253" t="s">
        <v>150</v>
      </c>
      <c r="I253" t="s">
        <v>21</v>
      </c>
      <c r="J253" t="s">
        <v>60</v>
      </c>
      <c r="K253">
        <v>816.3</v>
      </c>
      <c r="L253">
        <v>3</v>
      </c>
      <c r="M253">
        <v>0</v>
      </c>
      <c r="N253">
        <v>137.88</v>
      </c>
      <c r="O253" t="str">
        <f t="shared" si="3"/>
        <v>Jan-2025</v>
      </c>
    </row>
    <row r="254" spans="1:15" x14ac:dyDescent="0.25">
      <c r="A254" t="s">
        <v>429</v>
      </c>
      <c r="B254" s="2">
        <v>45293</v>
      </c>
      <c r="C254" s="2">
        <v>45295</v>
      </c>
      <c r="D254" t="s">
        <v>192</v>
      </c>
      <c r="E254" t="s">
        <v>17</v>
      </c>
      <c r="F254" t="s">
        <v>63</v>
      </c>
      <c r="G254" t="s">
        <v>67</v>
      </c>
      <c r="H254" t="s">
        <v>68</v>
      </c>
      <c r="I254" t="s">
        <v>40</v>
      </c>
      <c r="J254" t="s">
        <v>48</v>
      </c>
      <c r="K254">
        <v>51.31</v>
      </c>
      <c r="L254">
        <v>3</v>
      </c>
      <c r="M254">
        <v>0.15</v>
      </c>
      <c r="N254">
        <v>6.05</v>
      </c>
      <c r="O254" t="str">
        <f t="shared" si="3"/>
        <v>Jan-2024</v>
      </c>
    </row>
    <row r="255" spans="1:15" x14ac:dyDescent="0.25">
      <c r="A255" t="s">
        <v>430</v>
      </c>
      <c r="B255" s="2">
        <v>45724</v>
      </c>
      <c r="C255" s="2">
        <v>45730</v>
      </c>
      <c r="D255" t="s">
        <v>378</v>
      </c>
      <c r="E255" t="s">
        <v>17</v>
      </c>
      <c r="F255" t="s">
        <v>33</v>
      </c>
      <c r="G255" t="s">
        <v>34</v>
      </c>
      <c r="H255" t="s">
        <v>35</v>
      </c>
      <c r="I255" t="s">
        <v>29</v>
      </c>
      <c r="J255" t="s">
        <v>77</v>
      </c>
      <c r="K255">
        <v>288.38</v>
      </c>
      <c r="L255">
        <v>2</v>
      </c>
      <c r="M255">
        <v>0</v>
      </c>
      <c r="N255">
        <v>-0.06</v>
      </c>
      <c r="O255" t="str">
        <f t="shared" si="3"/>
        <v>Mar-2025</v>
      </c>
    </row>
    <row r="256" spans="1:15" x14ac:dyDescent="0.25">
      <c r="A256" t="s">
        <v>431</v>
      </c>
      <c r="B256" s="2">
        <v>45683</v>
      </c>
      <c r="C256" s="2">
        <v>45690</v>
      </c>
      <c r="D256" t="s">
        <v>130</v>
      </c>
      <c r="E256" t="s">
        <v>17</v>
      </c>
      <c r="F256" t="s">
        <v>18</v>
      </c>
      <c r="G256" t="s">
        <v>19</v>
      </c>
      <c r="H256" t="s">
        <v>20</v>
      </c>
      <c r="I256" t="s">
        <v>40</v>
      </c>
      <c r="J256" t="s">
        <v>98</v>
      </c>
      <c r="K256">
        <v>394.9</v>
      </c>
      <c r="L256">
        <v>3</v>
      </c>
      <c r="M256">
        <v>0.2</v>
      </c>
      <c r="N256">
        <v>137.38</v>
      </c>
      <c r="O256" t="str">
        <f t="shared" si="3"/>
        <v>Jan-2025</v>
      </c>
    </row>
    <row r="257" spans="1:15" x14ac:dyDescent="0.25">
      <c r="A257" t="s">
        <v>432</v>
      </c>
      <c r="B257" s="2">
        <v>45460</v>
      </c>
      <c r="C257" s="2">
        <v>45464</v>
      </c>
      <c r="D257" t="s">
        <v>210</v>
      </c>
      <c r="E257" t="s">
        <v>80</v>
      </c>
      <c r="F257" t="s">
        <v>26</v>
      </c>
      <c r="G257" t="s">
        <v>51</v>
      </c>
      <c r="H257" t="s">
        <v>52</v>
      </c>
      <c r="I257" t="s">
        <v>21</v>
      </c>
      <c r="J257" t="s">
        <v>22</v>
      </c>
      <c r="K257">
        <v>1115.23</v>
      </c>
      <c r="L257">
        <v>4</v>
      </c>
      <c r="M257">
        <v>0.2</v>
      </c>
      <c r="N257">
        <v>306.11</v>
      </c>
      <c r="O257" t="str">
        <f t="shared" si="3"/>
        <v>Jun-2024</v>
      </c>
    </row>
    <row r="258" spans="1:15" x14ac:dyDescent="0.25">
      <c r="A258" t="s">
        <v>433</v>
      </c>
      <c r="B258" s="2">
        <v>45394</v>
      </c>
      <c r="C258" s="2">
        <v>45396</v>
      </c>
      <c r="D258" t="s">
        <v>252</v>
      </c>
      <c r="E258" t="s">
        <v>17</v>
      </c>
      <c r="F258" t="s">
        <v>33</v>
      </c>
      <c r="G258" t="s">
        <v>165</v>
      </c>
      <c r="H258" t="s">
        <v>166</v>
      </c>
      <c r="I258" t="s">
        <v>21</v>
      </c>
      <c r="J258" t="s">
        <v>123</v>
      </c>
      <c r="K258">
        <v>9654.1200000000008</v>
      </c>
      <c r="L258">
        <v>7</v>
      </c>
      <c r="M258">
        <v>0</v>
      </c>
      <c r="N258">
        <v>726.21</v>
      </c>
      <c r="O258" t="str">
        <f t="shared" ref="O258:O321" si="4">TEXT(B258,"mmm-yyyy")</f>
        <v>Apr-2024</v>
      </c>
    </row>
    <row r="259" spans="1:15" x14ac:dyDescent="0.25">
      <c r="A259" t="s">
        <v>434</v>
      </c>
      <c r="B259" s="2">
        <v>45546</v>
      </c>
      <c r="C259" s="2">
        <v>45551</v>
      </c>
      <c r="D259" t="s">
        <v>235</v>
      </c>
      <c r="E259" t="s">
        <v>17</v>
      </c>
      <c r="F259" t="s">
        <v>63</v>
      </c>
      <c r="G259" t="s">
        <v>67</v>
      </c>
      <c r="H259" t="s">
        <v>68</v>
      </c>
      <c r="I259" t="s">
        <v>29</v>
      </c>
      <c r="J259" t="s">
        <v>77</v>
      </c>
      <c r="K259">
        <v>1177.43</v>
      </c>
      <c r="L259">
        <v>5</v>
      </c>
      <c r="M259">
        <v>0.3</v>
      </c>
      <c r="N259">
        <v>85.21</v>
      </c>
      <c r="O259" t="str">
        <f t="shared" si="4"/>
        <v>Sep-2024</v>
      </c>
    </row>
    <row r="260" spans="1:15" x14ac:dyDescent="0.25">
      <c r="A260" t="s">
        <v>435</v>
      </c>
      <c r="B260" s="2">
        <v>45594</v>
      </c>
      <c r="C260" s="2">
        <v>45600</v>
      </c>
      <c r="D260" t="s">
        <v>50</v>
      </c>
      <c r="E260" t="s">
        <v>25</v>
      </c>
      <c r="F260" t="s">
        <v>18</v>
      </c>
      <c r="G260" t="s">
        <v>81</v>
      </c>
      <c r="H260" t="s">
        <v>82</v>
      </c>
      <c r="I260" t="s">
        <v>29</v>
      </c>
      <c r="J260" t="s">
        <v>87</v>
      </c>
      <c r="K260">
        <v>517.17999999999995</v>
      </c>
      <c r="L260">
        <v>4</v>
      </c>
      <c r="M260">
        <v>0.1</v>
      </c>
      <c r="N260">
        <v>0.09</v>
      </c>
      <c r="O260" t="str">
        <f t="shared" si="4"/>
        <v>Oct-2024</v>
      </c>
    </row>
    <row r="261" spans="1:15" x14ac:dyDescent="0.25">
      <c r="A261" t="s">
        <v>436</v>
      </c>
      <c r="B261" s="2">
        <v>45661</v>
      </c>
      <c r="C261" s="2">
        <v>45664</v>
      </c>
      <c r="D261" t="s">
        <v>219</v>
      </c>
      <c r="E261" t="s">
        <v>17</v>
      </c>
      <c r="F261" t="s">
        <v>26</v>
      </c>
      <c r="G261" t="s">
        <v>96</v>
      </c>
      <c r="H261" t="s">
        <v>97</v>
      </c>
      <c r="I261" t="s">
        <v>21</v>
      </c>
      <c r="J261" t="s">
        <v>22</v>
      </c>
      <c r="K261">
        <v>1135.33</v>
      </c>
      <c r="L261">
        <v>7</v>
      </c>
      <c r="M261">
        <v>0</v>
      </c>
      <c r="N261">
        <v>242.85</v>
      </c>
      <c r="O261" t="str">
        <f t="shared" si="4"/>
        <v>Jan-2025</v>
      </c>
    </row>
    <row r="262" spans="1:15" x14ac:dyDescent="0.25">
      <c r="A262" t="s">
        <v>437</v>
      </c>
      <c r="B262" s="2">
        <v>45306</v>
      </c>
      <c r="C262" s="2">
        <v>45309</v>
      </c>
      <c r="D262" t="s">
        <v>438</v>
      </c>
      <c r="E262" t="s">
        <v>17</v>
      </c>
      <c r="F262" t="s">
        <v>26</v>
      </c>
      <c r="G262" t="s">
        <v>96</v>
      </c>
      <c r="H262" t="s">
        <v>97</v>
      </c>
      <c r="I262" t="s">
        <v>29</v>
      </c>
      <c r="J262" t="s">
        <v>55</v>
      </c>
      <c r="K262">
        <v>134.53</v>
      </c>
      <c r="L262">
        <v>1</v>
      </c>
      <c r="M262">
        <v>0.3</v>
      </c>
      <c r="N262">
        <v>22.79</v>
      </c>
      <c r="O262" t="str">
        <f t="shared" si="4"/>
        <v>Jan-2024</v>
      </c>
    </row>
    <row r="263" spans="1:15" x14ac:dyDescent="0.25">
      <c r="A263" t="s">
        <v>439</v>
      </c>
      <c r="B263" s="2">
        <v>45376</v>
      </c>
      <c r="C263" s="2">
        <v>45382</v>
      </c>
      <c r="D263" t="s">
        <v>164</v>
      </c>
      <c r="E263" t="s">
        <v>25</v>
      </c>
      <c r="F263" t="s">
        <v>63</v>
      </c>
      <c r="G263" t="s">
        <v>106</v>
      </c>
      <c r="H263" t="s">
        <v>107</v>
      </c>
      <c r="I263" t="s">
        <v>40</v>
      </c>
      <c r="J263" t="s">
        <v>109</v>
      </c>
      <c r="K263">
        <v>83.28</v>
      </c>
      <c r="L263">
        <v>3</v>
      </c>
      <c r="M263">
        <v>0</v>
      </c>
      <c r="N263">
        <v>6.25</v>
      </c>
      <c r="O263" t="str">
        <f t="shared" si="4"/>
        <v>Mar-2024</v>
      </c>
    </row>
    <row r="264" spans="1:15" x14ac:dyDescent="0.25">
      <c r="A264" t="s">
        <v>440</v>
      </c>
      <c r="B264" s="2">
        <v>45692</v>
      </c>
      <c r="C264" s="2">
        <v>45697</v>
      </c>
      <c r="D264" t="s">
        <v>341</v>
      </c>
      <c r="E264" t="s">
        <v>25</v>
      </c>
      <c r="F264" t="s">
        <v>18</v>
      </c>
      <c r="G264" t="s">
        <v>71</v>
      </c>
      <c r="H264" t="s">
        <v>72</v>
      </c>
      <c r="I264" t="s">
        <v>29</v>
      </c>
      <c r="J264" t="s">
        <v>87</v>
      </c>
      <c r="K264">
        <v>1214.8800000000001</v>
      </c>
      <c r="L264">
        <v>2</v>
      </c>
      <c r="M264">
        <v>0</v>
      </c>
      <c r="N264">
        <v>49.6</v>
      </c>
      <c r="O264" t="str">
        <f t="shared" si="4"/>
        <v>Feb-2025</v>
      </c>
    </row>
    <row r="265" spans="1:15" x14ac:dyDescent="0.25">
      <c r="A265" t="s">
        <v>441</v>
      </c>
      <c r="B265" s="2">
        <v>45756</v>
      </c>
      <c r="C265" s="2">
        <v>45761</v>
      </c>
      <c r="D265" t="s">
        <v>442</v>
      </c>
      <c r="E265" t="s">
        <v>17</v>
      </c>
      <c r="F265" t="s">
        <v>26</v>
      </c>
      <c r="G265" t="s">
        <v>51</v>
      </c>
      <c r="H265" t="s">
        <v>52</v>
      </c>
      <c r="I265" t="s">
        <v>29</v>
      </c>
      <c r="J265" t="s">
        <v>55</v>
      </c>
      <c r="K265">
        <v>1586.36</v>
      </c>
      <c r="L265">
        <v>5</v>
      </c>
      <c r="M265">
        <v>0.2</v>
      </c>
      <c r="N265">
        <v>432.3</v>
      </c>
      <c r="O265" t="str">
        <f t="shared" si="4"/>
        <v>Apr-2025</v>
      </c>
    </row>
    <row r="266" spans="1:15" x14ac:dyDescent="0.25">
      <c r="A266" t="s">
        <v>443</v>
      </c>
      <c r="B266" s="2">
        <v>45459</v>
      </c>
      <c r="C266" s="2">
        <v>45463</v>
      </c>
      <c r="D266" t="s">
        <v>164</v>
      </c>
      <c r="E266" t="s">
        <v>17</v>
      </c>
      <c r="F266" t="s">
        <v>26</v>
      </c>
      <c r="G266" t="s">
        <v>51</v>
      </c>
      <c r="H266" t="s">
        <v>52</v>
      </c>
      <c r="I266" t="s">
        <v>29</v>
      </c>
      <c r="J266" t="s">
        <v>87</v>
      </c>
      <c r="K266">
        <v>4312.05</v>
      </c>
      <c r="L266">
        <v>5</v>
      </c>
      <c r="M266">
        <v>0</v>
      </c>
      <c r="N266">
        <v>-7.14</v>
      </c>
      <c r="O266" t="str">
        <f t="shared" si="4"/>
        <v>Jun-2024</v>
      </c>
    </row>
    <row r="267" spans="1:15" x14ac:dyDescent="0.25">
      <c r="A267" t="s">
        <v>444</v>
      </c>
      <c r="B267" s="2">
        <v>45570</v>
      </c>
      <c r="C267" s="2">
        <v>45575</v>
      </c>
      <c r="D267" t="s">
        <v>291</v>
      </c>
      <c r="E267" t="s">
        <v>25</v>
      </c>
      <c r="F267" t="s">
        <v>63</v>
      </c>
      <c r="G267" t="s">
        <v>149</v>
      </c>
      <c r="H267" t="s">
        <v>150</v>
      </c>
      <c r="I267" t="s">
        <v>29</v>
      </c>
      <c r="J267" t="s">
        <v>77</v>
      </c>
      <c r="K267">
        <v>209.14</v>
      </c>
      <c r="L267">
        <v>2</v>
      </c>
      <c r="M267">
        <v>0.1</v>
      </c>
      <c r="N267">
        <v>1.92</v>
      </c>
      <c r="O267" t="str">
        <f t="shared" si="4"/>
        <v>Oct-2024</v>
      </c>
    </row>
    <row r="268" spans="1:15" x14ac:dyDescent="0.25">
      <c r="A268" t="s">
        <v>445</v>
      </c>
      <c r="B268" s="2">
        <v>45453</v>
      </c>
      <c r="C268" s="2">
        <v>45456</v>
      </c>
      <c r="D268" t="s">
        <v>330</v>
      </c>
      <c r="E268" t="s">
        <v>25</v>
      </c>
      <c r="F268" t="s">
        <v>63</v>
      </c>
      <c r="G268" t="s">
        <v>149</v>
      </c>
      <c r="H268" t="s">
        <v>150</v>
      </c>
      <c r="I268" t="s">
        <v>40</v>
      </c>
      <c r="J268" t="s">
        <v>176</v>
      </c>
      <c r="K268">
        <v>23.66</v>
      </c>
      <c r="L268">
        <v>2</v>
      </c>
      <c r="M268">
        <v>0</v>
      </c>
      <c r="N268">
        <v>6.44</v>
      </c>
      <c r="O268" t="str">
        <f t="shared" si="4"/>
        <v>Jun-2024</v>
      </c>
    </row>
    <row r="269" spans="1:15" x14ac:dyDescent="0.25">
      <c r="A269" t="s">
        <v>446</v>
      </c>
      <c r="B269" s="2">
        <v>45664</v>
      </c>
      <c r="C269" s="2">
        <v>45668</v>
      </c>
      <c r="D269" t="s">
        <v>373</v>
      </c>
      <c r="E269" t="s">
        <v>25</v>
      </c>
      <c r="F269" t="s">
        <v>18</v>
      </c>
      <c r="G269" t="s">
        <v>19</v>
      </c>
      <c r="H269" t="s">
        <v>20</v>
      </c>
      <c r="I269" t="s">
        <v>29</v>
      </c>
      <c r="J269" t="s">
        <v>87</v>
      </c>
      <c r="K269">
        <v>1755.98</v>
      </c>
      <c r="L269">
        <v>3</v>
      </c>
      <c r="M269">
        <v>0.3</v>
      </c>
      <c r="N269">
        <v>-79.73</v>
      </c>
      <c r="O269" t="str">
        <f t="shared" si="4"/>
        <v>Jan-2025</v>
      </c>
    </row>
    <row r="270" spans="1:15" x14ac:dyDescent="0.25">
      <c r="A270" t="s">
        <v>447</v>
      </c>
      <c r="B270" s="2">
        <v>45619</v>
      </c>
      <c r="C270" s="2">
        <v>45622</v>
      </c>
      <c r="D270" t="s">
        <v>328</v>
      </c>
      <c r="E270" t="s">
        <v>80</v>
      </c>
      <c r="F270" t="s">
        <v>33</v>
      </c>
      <c r="G270" t="s">
        <v>38</v>
      </c>
      <c r="H270" t="s">
        <v>39</v>
      </c>
      <c r="I270" t="s">
        <v>40</v>
      </c>
      <c r="J270" t="s">
        <v>41</v>
      </c>
      <c r="K270">
        <v>126</v>
      </c>
      <c r="L270">
        <v>6</v>
      </c>
      <c r="M270">
        <v>0</v>
      </c>
      <c r="N270">
        <v>25.28</v>
      </c>
      <c r="O270" t="str">
        <f t="shared" si="4"/>
        <v>Nov-2024</v>
      </c>
    </row>
    <row r="271" spans="1:15" x14ac:dyDescent="0.25">
      <c r="A271" t="s">
        <v>448</v>
      </c>
      <c r="B271" s="2">
        <v>45768</v>
      </c>
      <c r="C271" s="2">
        <v>45775</v>
      </c>
      <c r="D271" t="s">
        <v>241</v>
      </c>
      <c r="E271" t="s">
        <v>17</v>
      </c>
      <c r="F271" t="s">
        <v>18</v>
      </c>
      <c r="G271" t="s">
        <v>46</v>
      </c>
      <c r="H271" t="s">
        <v>47</v>
      </c>
      <c r="I271" t="s">
        <v>29</v>
      </c>
      <c r="J271" t="s">
        <v>55</v>
      </c>
      <c r="K271">
        <v>1134</v>
      </c>
      <c r="L271">
        <v>5</v>
      </c>
      <c r="M271">
        <v>0</v>
      </c>
      <c r="N271">
        <v>86.09</v>
      </c>
      <c r="O271" t="str">
        <f t="shared" si="4"/>
        <v>Apr-2025</v>
      </c>
    </row>
    <row r="272" spans="1:15" x14ac:dyDescent="0.25">
      <c r="A272" t="s">
        <v>449</v>
      </c>
      <c r="B272" s="2">
        <v>45603</v>
      </c>
      <c r="C272" s="2">
        <v>45609</v>
      </c>
      <c r="D272" t="s">
        <v>450</v>
      </c>
      <c r="E272" t="s">
        <v>80</v>
      </c>
      <c r="F272" t="s">
        <v>33</v>
      </c>
      <c r="G272" t="s">
        <v>34</v>
      </c>
      <c r="H272" t="s">
        <v>35</v>
      </c>
      <c r="I272" t="s">
        <v>40</v>
      </c>
      <c r="J272" t="s">
        <v>41</v>
      </c>
      <c r="K272">
        <v>130.56</v>
      </c>
      <c r="L272">
        <v>8</v>
      </c>
      <c r="M272">
        <v>0</v>
      </c>
      <c r="N272">
        <v>29.7</v>
      </c>
      <c r="O272" t="str">
        <f t="shared" si="4"/>
        <v>Nov-2024</v>
      </c>
    </row>
    <row r="273" spans="1:15" x14ac:dyDescent="0.25">
      <c r="A273" t="s">
        <v>451</v>
      </c>
      <c r="B273" s="2">
        <v>45711</v>
      </c>
      <c r="C273" s="2">
        <v>45712</v>
      </c>
      <c r="D273" t="s">
        <v>127</v>
      </c>
      <c r="E273" t="s">
        <v>17</v>
      </c>
      <c r="F273" t="s">
        <v>33</v>
      </c>
      <c r="G273" t="s">
        <v>38</v>
      </c>
      <c r="H273" t="s">
        <v>39</v>
      </c>
      <c r="I273" t="s">
        <v>21</v>
      </c>
      <c r="J273" t="s">
        <v>103</v>
      </c>
      <c r="K273">
        <v>3900.48</v>
      </c>
      <c r="L273">
        <v>6</v>
      </c>
      <c r="M273">
        <v>0.2</v>
      </c>
      <c r="N273">
        <v>1177.45</v>
      </c>
      <c r="O273" t="str">
        <f t="shared" si="4"/>
        <v>Feb-2025</v>
      </c>
    </row>
    <row r="274" spans="1:15" x14ac:dyDescent="0.25">
      <c r="A274" t="s">
        <v>452</v>
      </c>
      <c r="B274" s="2">
        <v>45606</v>
      </c>
      <c r="C274" s="2">
        <v>45607</v>
      </c>
      <c r="D274" t="s">
        <v>453</v>
      </c>
      <c r="E274" t="s">
        <v>80</v>
      </c>
      <c r="F274" t="s">
        <v>18</v>
      </c>
      <c r="G274" t="s">
        <v>81</v>
      </c>
      <c r="H274" t="s">
        <v>82</v>
      </c>
      <c r="I274" t="s">
        <v>29</v>
      </c>
      <c r="J274" t="s">
        <v>30</v>
      </c>
      <c r="K274">
        <v>139.43</v>
      </c>
      <c r="L274">
        <v>4</v>
      </c>
      <c r="M274">
        <v>0.1</v>
      </c>
      <c r="N274">
        <v>27.55</v>
      </c>
      <c r="O274" t="str">
        <f t="shared" si="4"/>
        <v>Nov-2024</v>
      </c>
    </row>
    <row r="275" spans="1:15" x14ac:dyDescent="0.25">
      <c r="A275" t="s">
        <v>454</v>
      </c>
      <c r="B275" s="2">
        <v>45529</v>
      </c>
      <c r="C275" s="2">
        <v>45536</v>
      </c>
      <c r="D275" t="s">
        <v>43</v>
      </c>
      <c r="E275" t="s">
        <v>17</v>
      </c>
      <c r="F275" t="s">
        <v>18</v>
      </c>
      <c r="G275" t="s">
        <v>46</v>
      </c>
      <c r="H275" t="s">
        <v>47</v>
      </c>
      <c r="I275" t="s">
        <v>21</v>
      </c>
      <c r="J275" t="s">
        <v>60</v>
      </c>
      <c r="K275">
        <v>867.94</v>
      </c>
      <c r="L275">
        <v>6</v>
      </c>
      <c r="M275">
        <v>0.1</v>
      </c>
      <c r="N275">
        <v>297.14999999999998</v>
      </c>
      <c r="O275" t="str">
        <f t="shared" si="4"/>
        <v>Aug-2024</v>
      </c>
    </row>
    <row r="276" spans="1:15" x14ac:dyDescent="0.25">
      <c r="A276" t="s">
        <v>455</v>
      </c>
      <c r="B276" s="2">
        <v>45368</v>
      </c>
      <c r="C276" s="2">
        <v>45373</v>
      </c>
      <c r="D276" t="s">
        <v>186</v>
      </c>
      <c r="E276" t="s">
        <v>25</v>
      </c>
      <c r="F276" t="s">
        <v>18</v>
      </c>
      <c r="G276" t="s">
        <v>71</v>
      </c>
      <c r="H276" t="s">
        <v>72</v>
      </c>
      <c r="I276" t="s">
        <v>29</v>
      </c>
      <c r="J276" t="s">
        <v>87</v>
      </c>
      <c r="K276">
        <v>3103.86</v>
      </c>
      <c r="L276">
        <v>7</v>
      </c>
      <c r="M276">
        <v>0.2</v>
      </c>
      <c r="N276">
        <v>233.87</v>
      </c>
      <c r="O276" t="str">
        <f t="shared" si="4"/>
        <v>Mar-2024</v>
      </c>
    </row>
    <row r="277" spans="1:15" x14ac:dyDescent="0.25">
      <c r="A277" t="s">
        <v>456</v>
      </c>
      <c r="B277" s="2">
        <v>46009</v>
      </c>
      <c r="C277" s="2">
        <v>46016</v>
      </c>
      <c r="D277" t="s">
        <v>212</v>
      </c>
      <c r="E277" t="s">
        <v>25</v>
      </c>
      <c r="F277" t="s">
        <v>26</v>
      </c>
      <c r="G277" t="s">
        <v>75</v>
      </c>
      <c r="H277" t="s">
        <v>76</v>
      </c>
      <c r="I277" t="s">
        <v>40</v>
      </c>
      <c r="J277" t="s">
        <v>98</v>
      </c>
      <c r="K277">
        <v>808.49</v>
      </c>
      <c r="L277">
        <v>6</v>
      </c>
      <c r="M277">
        <v>0.1</v>
      </c>
      <c r="N277">
        <v>106.39</v>
      </c>
      <c r="O277" t="str">
        <f t="shared" si="4"/>
        <v>Dec-2025</v>
      </c>
    </row>
    <row r="278" spans="1:15" x14ac:dyDescent="0.25">
      <c r="A278" t="s">
        <v>457</v>
      </c>
      <c r="B278" s="2">
        <v>45460</v>
      </c>
      <c r="C278" s="2">
        <v>45464</v>
      </c>
      <c r="D278" t="s">
        <v>127</v>
      </c>
      <c r="E278" t="s">
        <v>17</v>
      </c>
      <c r="F278" t="s">
        <v>18</v>
      </c>
      <c r="G278" t="s">
        <v>46</v>
      </c>
      <c r="H278" t="s">
        <v>47</v>
      </c>
      <c r="I278" t="s">
        <v>29</v>
      </c>
      <c r="J278" t="s">
        <v>55</v>
      </c>
      <c r="K278">
        <v>2256.4499999999998</v>
      </c>
      <c r="L278">
        <v>7</v>
      </c>
      <c r="M278">
        <v>0</v>
      </c>
      <c r="N278">
        <v>475.61</v>
      </c>
      <c r="O278" t="str">
        <f t="shared" si="4"/>
        <v>Jun-2024</v>
      </c>
    </row>
    <row r="279" spans="1:15" x14ac:dyDescent="0.25">
      <c r="A279" t="s">
        <v>458</v>
      </c>
      <c r="B279" s="2">
        <v>45384</v>
      </c>
      <c r="C279" s="2">
        <v>45386</v>
      </c>
      <c r="D279" t="s">
        <v>57</v>
      </c>
      <c r="E279" t="s">
        <v>17</v>
      </c>
      <c r="F279" t="s">
        <v>26</v>
      </c>
      <c r="G279" t="s">
        <v>96</v>
      </c>
      <c r="H279" t="s">
        <v>97</v>
      </c>
      <c r="I279" t="s">
        <v>40</v>
      </c>
      <c r="J279" t="s">
        <v>109</v>
      </c>
      <c r="K279">
        <v>142.66</v>
      </c>
      <c r="L279">
        <v>5</v>
      </c>
      <c r="M279">
        <v>0.3</v>
      </c>
      <c r="N279">
        <v>37.29</v>
      </c>
      <c r="O279" t="str">
        <f t="shared" si="4"/>
        <v>Apr-2024</v>
      </c>
    </row>
    <row r="280" spans="1:15" x14ac:dyDescent="0.25">
      <c r="A280" t="s">
        <v>459</v>
      </c>
      <c r="B280" s="2">
        <v>45546</v>
      </c>
      <c r="C280" s="2">
        <v>45549</v>
      </c>
      <c r="D280" t="s">
        <v>43</v>
      </c>
      <c r="E280" t="s">
        <v>80</v>
      </c>
      <c r="F280" t="s">
        <v>18</v>
      </c>
      <c r="G280" t="s">
        <v>46</v>
      </c>
      <c r="H280" t="s">
        <v>47</v>
      </c>
      <c r="I280" t="s">
        <v>40</v>
      </c>
      <c r="J280" t="s">
        <v>41</v>
      </c>
      <c r="K280">
        <v>8.89</v>
      </c>
      <c r="L280">
        <v>1</v>
      </c>
      <c r="M280">
        <v>0.2</v>
      </c>
      <c r="N280">
        <v>1.24</v>
      </c>
      <c r="O280" t="str">
        <f t="shared" si="4"/>
        <v>Sep-2024</v>
      </c>
    </row>
    <row r="281" spans="1:15" x14ac:dyDescent="0.25">
      <c r="A281" t="s">
        <v>460</v>
      </c>
      <c r="B281" s="2">
        <v>45855</v>
      </c>
      <c r="C281" s="2">
        <v>45857</v>
      </c>
      <c r="D281" t="s">
        <v>120</v>
      </c>
      <c r="E281" t="s">
        <v>80</v>
      </c>
      <c r="F281" t="s">
        <v>26</v>
      </c>
      <c r="G281" t="s">
        <v>51</v>
      </c>
      <c r="H281" t="s">
        <v>52</v>
      </c>
      <c r="I281" t="s">
        <v>40</v>
      </c>
      <c r="J281" t="s">
        <v>109</v>
      </c>
      <c r="K281">
        <v>9.17</v>
      </c>
      <c r="L281">
        <v>2</v>
      </c>
      <c r="M281">
        <v>0.3</v>
      </c>
      <c r="N281">
        <v>2.64</v>
      </c>
      <c r="O281" t="str">
        <f t="shared" si="4"/>
        <v>Jul-2025</v>
      </c>
    </row>
    <row r="282" spans="1:15" x14ac:dyDescent="0.25">
      <c r="A282" t="s">
        <v>461</v>
      </c>
      <c r="B282" s="2">
        <v>45702</v>
      </c>
      <c r="C282" s="2">
        <v>45705</v>
      </c>
      <c r="D282" t="s">
        <v>230</v>
      </c>
      <c r="E282" t="s">
        <v>17</v>
      </c>
      <c r="F282" t="s">
        <v>18</v>
      </c>
      <c r="G282" t="s">
        <v>19</v>
      </c>
      <c r="H282" t="s">
        <v>20</v>
      </c>
      <c r="I282" t="s">
        <v>29</v>
      </c>
      <c r="J282" t="s">
        <v>87</v>
      </c>
      <c r="K282">
        <v>1103.3499999999999</v>
      </c>
      <c r="L282">
        <v>2</v>
      </c>
      <c r="M282">
        <v>0.15</v>
      </c>
      <c r="N282">
        <v>28.9</v>
      </c>
      <c r="O282" t="str">
        <f t="shared" si="4"/>
        <v>Feb-2025</v>
      </c>
    </row>
    <row r="283" spans="1:15" x14ac:dyDescent="0.25">
      <c r="A283" t="s">
        <v>462</v>
      </c>
      <c r="B283" s="2">
        <v>45423</v>
      </c>
      <c r="C283" s="2">
        <v>45424</v>
      </c>
      <c r="D283" t="s">
        <v>235</v>
      </c>
      <c r="E283" t="s">
        <v>25</v>
      </c>
      <c r="F283" t="s">
        <v>18</v>
      </c>
      <c r="G283" t="s">
        <v>19</v>
      </c>
      <c r="H283" t="s">
        <v>20</v>
      </c>
      <c r="I283" t="s">
        <v>29</v>
      </c>
      <c r="J283" t="s">
        <v>87</v>
      </c>
      <c r="K283">
        <v>4944.3599999999997</v>
      </c>
      <c r="L283">
        <v>6</v>
      </c>
      <c r="M283">
        <v>0</v>
      </c>
      <c r="N283">
        <v>-219.77</v>
      </c>
      <c r="O283" t="str">
        <f t="shared" si="4"/>
        <v>May-2024</v>
      </c>
    </row>
    <row r="284" spans="1:15" x14ac:dyDescent="0.25">
      <c r="A284" t="s">
        <v>463</v>
      </c>
      <c r="B284" s="2">
        <v>45696</v>
      </c>
      <c r="C284" s="2">
        <v>45700</v>
      </c>
      <c r="D284" t="s">
        <v>197</v>
      </c>
      <c r="E284" t="s">
        <v>80</v>
      </c>
      <c r="F284" t="s">
        <v>33</v>
      </c>
      <c r="G284" t="s">
        <v>34</v>
      </c>
      <c r="H284" t="s">
        <v>35</v>
      </c>
      <c r="I284" t="s">
        <v>29</v>
      </c>
      <c r="J284" t="s">
        <v>30</v>
      </c>
      <c r="K284">
        <v>98.91</v>
      </c>
      <c r="L284">
        <v>7</v>
      </c>
      <c r="M284">
        <v>0</v>
      </c>
      <c r="N284">
        <v>15.45</v>
      </c>
      <c r="O284" t="str">
        <f t="shared" si="4"/>
        <v>Feb-2025</v>
      </c>
    </row>
    <row r="285" spans="1:15" x14ac:dyDescent="0.25">
      <c r="A285" t="s">
        <v>464</v>
      </c>
      <c r="B285" s="2">
        <v>45920</v>
      </c>
      <c r="C285" s="2">
        <v>45925</v>
      </c>
      <c r="D285" t="s">
        <v>127</v>
      </c>
      <c r="E285" t="s">
        <v>17</v>
      </c>
      <c r="F285" t="s">
        <v>26</v>
      </c>
      <c r="G285" t="s">
        <v>75</v>
      </c>
      <c r="H285" t="s">
        <v>76</v>
      </c>
      <c r="I285" t="s">
        <v>40</v>
      </c>
      <c r="J285" t="s">
        <v>109</v>
      </c>
      <c r="K285">
        <v>142.25</v>
      </c>
      <c r="L285">
        <v>5</v>
      </c>
      <c r="M285">
        <v>0.1</v>
      </c>
      <c r="N285">
        <v>24.69</v>
      </c>
      <c r="O285" t="str">
        <f t="shared" si="4"/>
        <v>Sep-2025</v>
      </c>
    </row>
    <row r="286" spans="1:15" x14ac:dyDescent="0.25">
      <c r="A286" t="s">
        <v>465</v>
      </c>
      <c r="B286" s="2">
        <v>45721</v>
      </c>
      <c r="C286" s="2">
        <v>45723</v>
      </c>
      <c r="D286" t="s">
        <v>45</v>
      </c>
      <c r="E286" t="s">
        <v>17</v>
      </c>
      <c r="F286" t="s">
        <v>33</v>
      </c>
      <c r="G286" t="s">
        <v>34</v>
      </c>
      <c r="H286" t="s">
        <v>35</v>
      </c>
      <c r="I286" t="s">
        <v>29</v>
      </c>
      <c r="J286" t="s">
        <v>77</v>
      </c>
      <c r="K286">
        <v>1131.17</v>
      </c>
      <c r="L286">
        <v>4</v>
      </c>
      <c r="M286">
        <v>0.2</v>
      </c>
      <c r="N286">
        <v>89.62</v>
      </c>
      <c r="O286" t="str">
        <f t="shared" si="4"/>
        <v>Mar-2025</v>
      </c>
    </row>
    <row r="287" spans="1:15" x14ac:dyDescent="0.25">
      <c r="A287" t="s">
        <v>466</v>
      </c>
      <c r="B287" s="2">
        <v>45788</v>
      </c>
      <c r="C287" s="2">
        <v>45791</v>
      </c>
      <c r="D287" t="s">
        <v>467</v>
      </c>
      <c r="E287" t="s">
        <v>80</v>
      </c>
      <c r="F287" t="s">
        <v>18</v>
      </c>
      <c r="G287" t="s">
        <v>58</v>
      </c>
      <c r="H287" t="s">
        <v>59</v>
      </c>
      <c r="I287" t="s">
        <v>21</v>
      </c>
      <c r="J287" t="s">
        <v>60</v>
      </c>
      <c r="K287">
        <v>1483.27</v>
      </c>
      <c r="L287">
        <v>6</v>
      </c>
      <c r="M287">
        <v>0.1</v>
      </c>
      <c r="N287">
        <v>194.5</v>
      </c>
      <c r="O287" t="str">
        <f t="shared" si="4"/>
        <v>May-2025</v>
      </c>
    </row>
    <row r="288" spans="1:15" x14ac:dyDescent="0.25">
      <c r="A288" t="s">
        <v>468</v>
      </c>
      <c r="B288" s="2">
        <v>45351</v>
      </c>
      <c r="C288" s="2">
        <v>45358</v>
      </c>
      <c r="D288" t="s">
        <v>89</v>
      </c>
      <c r="E288" t="s">
        <v>25</v>
      </c>
      <c r="F288" t="s">
        <v>18</v>
      </c>
      <c r="G288" t="s">
        <v>81</v>
      </c>
      <c r="H288" t="s">
        <v>82</v>
      </c>
      <c r="I288" t="s">
        <v>21</v>
      </c>
      <c r="J288" t="s">
        <v>103</v>
      </c>
      <c r="K288">
        <v>10421.75</v>
      </c>
      <c r="L288">
        <v>6</v>
      </c>
      <c r="M288">
        <v>0.3</v>
      </c>
      <c r="N288">
        <v>2346.94</v>
      </c>
      <c r="O288" t="str">
        <f t="shared" si="4"/>
        <v>Feb-2024</v>
      </c>
    </row>
    <row r="289" spans="1:15" x14ac:dyDescent="0.25">
      <c r="A289" t="s">
        <v>469</v>
      </c>
      <c r="B289" s="2">
        <v>45564</v>
      </c>
      <c r="C289" s="2">
        <v>45569</v>
      </c>
      <c r="D289" t="s">
        <v>249</v>
      </c>
      <c r="E289" t="s">
        <v>17</v>
      </c>
      <c r="F289" t="s">
        <v>26</v>
      </c>
      <c r="G289" t="s">
        <v>90</v>
      </c>
      <c r="H289" t="s">
        <v>91</v>
      </c>
      <c r="I289" t="s">
        <v>29</v>
      </c>
      <c r="J289" t="s">
        <v>87</v>
      </c>
      <c r="K289">
        <v>527.12</v>
      </c>
      <c r="L289">
        <v>1</v>
      </c>
      <c r="M289">
        <v>0.3</v>
      </c>
      <c r="N289">
        <v>41.92</v>
      </c>
      <c r="O289" t="str">
        <f t="shared" si="4"/>
        <v>Sep-2024</v>
      </c>
    </row>
    <row r="290" spans="1:15" x14ac:dyDescent="0.25">
      <c r="A290" t="s">
        <v>470</v>
      </c>
      <c r="B290" s="2">
        <v>45472</v>
      </c>
      <c r="C290" s="2">
        <v>45474</v>
      </c>
      <c r="D290" t="s">
        <v>144</v>
      </c>
      <c r="E290" t="s">
        <v>17</v>
      </c>
      <c r="F290" t="s">
        <v>26</v>
      </c>
      <c r="G290" t="s">
        <v>27</v>
      </c>
      <c r="H290" t="s">
        <v>28</v>
      </c>
      <c r="I290" t="s">
        <v>40</v>
      </c>
      <c r="J290" t="s">
        <v>98</v>
      </c>
      <c r="K290">
        <v>625.16</v>
      </c>
      <c r="L290">
        <v>6</v>
      </c>
      <c r="M290">
        <v>0.15</v>
      </c>
      <c r="N290">
        <v>36.549999999999997</v>
      </c>
      <c r="O290" t="str">
        <f t="shared" si="4"/>
        <v>Jun-2024</v>
      </c>
    </row>
    <row r="291" spans="1:15" x14ac:dyDescent="0.25">
      <c r="A291" t="s">
        <v>471</v>
      </c>
      <c r="B291" s="2">
        <v>45796</v>
      </c>
      <c r="C291" s="2">
        <v>45801</v>
      </c>
      <c r="D291" t="s">
        <v>354</v>
      </c>
      <c r="E291" t="s">
        <v>17</v>
      </c>
      <c r="F291" t="s">
        <v>63</v>
      </c>
      <c r="G291" t="s">
        <v>106</v>
      </c>
      <c r="H291" t="s">
        <v>107</v>
      </c>
      <c r="I291" t="s">
        <v>21</v>
      </c>
      <c r="J291" t="s">
        <v>103</v>
      </c>
      <c r="K291">
        <v>7839.36</v>
      </c>
      <c r="L291">
        <v>8</v>
      </c>
      <c r="M291">
        <v>0</v>
      </c>
      <c r="N291">
        <v>604.24</v>
      </c>
      <c r="O291" t="str">
        <f t="shared" si="4"/>
        <v>May-2025</v>
      </c>
    </row>
    <row r="292" spans="1:15" x14ac:dyDescent="0.25">
      <c r="A292" t="s">
        <v>472</v>
      </c>
      <c r="B292" s="2">
        <v>45292</v>
      </c>
      <c r="C292" s="2">
        <v>45295</v>
      </c>
      <c r="D292" t="s">
        <v>219</v>
      </c>
      <c r="E292" t="s">
        <v>25</v>
      </c>
      <c r="F292" t="s">
        <v>26</v>
      </c>
      <c r="G292" t="s">
        <v>27</v>
      </c>
      <c r="H292" t="s">
        <v>28</v>
      </c>
      <c r="I292" t="s">
        <v>29</v>
      </c>
      <c r="J292" t="s">
        <v>55</v>
      </c>
      <c r="K292">
        <v>1560.47</v>
      </c>
      <c r="L292">
        <v>4</v>
      </c>
      <c r="M292">
        <v>0.3</v>
      </c>
      <c r="N292">
        <v>139.11000000000001</v>
      </c>
      <c r="O292" t="str">
        <f t="shared" si="4"/>
        <v>Jan-2024</v>
      </c>
    </row>
    <row r="293" spans="1:15" x14ac:dyDescent="0.25">
      <c r="A293" t="s">
        <v>473</v>
      </c>
      <c r="B293" s="2">
        <v>46013</v>
      </c>
      <c r="C293" s="2">
        <v>46015</v>
      </c>
      <c r="D293" t="s">
        <v>117</v>
      </c>
      <c r="E293" t="s">
        <v>80</v>
      </c>
      <c r="F293" t="s">
        <v>26</v>
      </c>
      <c r="G293" t="s">
        <v>75</v>
      </c>
      <c r="H293" t="s">
        <v>76</v>
      </c>
      <c r="I293" t="s">
        <v>29</v>
      </c>
      <c r="J293" t="s">
        <v>55</v>
      </c>
      <c r="K293">
        <v>2896.02</v>
      </c>
      <c r="L293">
        <v>6</v>
      </c>
      <c r="M293">
        <v>0</v>
      </c>
      <c r="N293">
        <v>469.38</v>
      </c>
      <c r="O293" t="str">
        <f t="shared" si="4"/>
        <v>Dec-2025</v>
      </c>
    </row>
    <row r="294" spans="1:15" x14ac:dyDescent="0.25">
      <c r="A294" t="s">
        <v>474</v>
      </c>
      <c r="B294" s="2">
        <v>45431</v>
      </c>
      <c r="C294" s="2">
        <v>45433</v>
      </c>
      <c r="D294" t="s">
        <v>130</v>
      </c>
      <c r="E294" t="s">
        <v>25</v>
      </c>
      <c r="F294" t="s">
        <v>33</v>
      </c>
      <c r="G294" t="s">
        <v>165</v>
      </c>
      <c r="H294" t="s">
        <v>166</v>
      </c>
      <c r="I294" t="s">
        <v>29</v>
      </c>
      <c r="J294" t="s">
        <v>77</v>
      </c>
      <c r="K294">
        <v>1912.27</v>
      </c>
      <c r="L294">
        <v>7</v>
      </c>
      <c r="M294">
        <v>0.3</v>
      </c>
      <c r="N294">
        <v>63.3</v>
      </c>
      <c r="O294" t="str">
        <f t="shared" si="4"/>
        <v>May-2024</v>
      </c>
    </row>
    <row r="295" spans="1:15" x14ac:dyDescent="0.25">
      <c r="A295" t="s">
        <v>475</v>
      </c>
      <c r="B295" s="2">
        <v>45895</v>
      </c>
      <c r="C295" s="2">
        <v>45902</v>
      </c>
      <c r="D295" t="s">
        <v>93</v>
      </c>
      <c r="E295" t="s">
        <v>80</v>
      </c>
      <c r="F295" t="s">
        <v>33</v>
      </c>
      <c r="G295" t="s">
        <v>141</v>
      </c>
      <c r="H295" t="s">
        <v>142</v>
      </c>
      <c r="I295" t="s">
        <v>29</v>
      </c>
      <c r="J295" t="s">
        <v>77</v>
      </c>
      <c r="K295">
        <v>647.55999999999995</v>
      </c>
      <c r="L295">
        <v>5</v>
      </c>
      <c r="M295">
        <v>0.2</v>
      </c>
      <c r="N295">
        <v>25.58</v>
      </c>
      <c r="O295" t="str">
        <f t="shared" si="4"/>
        <v>Aug-2025</v>
      </c>
    </row>
    <row r="296" spans="1:15" x14ac:dyDescent="0.25">
      <c r="A296" t="s">
        <v>476</v>
      </c>
      <c r="B296" s="2">
        <v>45692</v>
      </c>
      <c r="C296" s="2">
        <v>45699</v>
      </c>
      <c r="D296" t="s">
        <v>164</v>
      </c>
      <c r="E296" t="s">
        <v>80</v>
      </c>
      <c r="F296" t="s">
        <v>26</v>
      </c>
      <c r="G296" t="s">
        <v>90</v>
      </c>
      <c r="H296" t="s">
        <v>91</v>
      </c>
      <c r="I296" t="s">
        <v>21</v>
      </c>
      <c r="J296" t="s">
        <v>22</v>
      </c>
      <c r="K296">
        <v>895.14</v>
      </c>
      <c r="L296">
        <v>1</v>
      </c>
      <c r="M296">
        <v>0</v>
      </c>
      <c r="N296">
        <v>206.52</v>
      </c>
      <c r="O296" t="str">
        <f t="shared" si="4"/>
        <v>Feb-2025</v>
      </c>
    </row>
    <row r="297" spans="1:15" x14ac:dyDescent="0.25">
      <c r="A297" t="s">
        <v>477</v>
      </c>
      <c r="B297" s="2">
        <v>45371</v>
      </c>
      <c r="C297" s="2">
        <v>45373</v>
      </c>
      <c r="D297" t="s">
        <v>117</v>
      </c>
      <c r="E297" t="s">
        <v>25</v>
      </c>
      <c r="F297" t="s">
        <v>26</v>
      </c>
      <c r="G297" t="s">
        <v>27</v>
      </c>
      <c r="H297" t="s">
        <v>28</v>
      </c>
      <c r="I297" t="s">
        <v>29</v>
      </c>
      <c r="J297" t="s">
        <v>30</v>
      </c>
      <c r="K297">
        <v>351.3</v>
      </c>
      <c r="L297">
        <v>6</v>
      </c>
      <c r="M297">
        <v>0</v>
      </c>
      <c r="N297">
        <v>84.61</v>
      </c>
      <c r="O297" t="str">
        <f t="shared" si="4"/>
        <v>Mar-2024</v>
      </c>
    </row>
    <row r="298" spans="1:15" x14ac:dyDescent="0.25">
      <c r="A298" t="s">
        <v>478</v>
      </c>
      <c r="B298" s="2">
        <v>45547</v>
      </c>
      <c r="C298" s="2">
        <v>45553</v>
      </c>
      <c r="D298" t="s">
        <v>57</v>
      </c>
      <c r="E298" t="s">
        <v>17</v>
      </c>
      <c r="F298" t="s">
        <v>18</v>
      </c>
      <c r="G298" t="s">
        <v>81</v>
      </c>
      <c r="H298" t="s">
        <v>82</v>
      </c>
      <c r="I298" t="s">
        <v>40</v>
      </c>
      <c r="J298" t="s">
        <v>48</v>
      </c>
      <c r="K298">
        <v>16.03</v>
      </c>
      <c r="L298">
        <v>5</v>
      </c>
      <c r="M298">
        <v>0.3</v>
      </c>
      <c r="N298">
        <v>1.32</v>
      </c>
      <c r="O298" t="str">
        <f t="shared" si="4"/>
        <v>Sep-2024</v>
      </c>
    </row>
    <row r="299" spans="1:15" x14ac:dyDescent="0.25">
      <c r="A299" t="s">
        <v>479</v>
      </c>
      <c r="B299" s="2">
        <v>45462</v>
      </c>
      <c r="C299" s="2">
        <v>45466</v>
      </c>
      <c r="D299" t="s">
        <v>155</v>
      </c>
      <c r="E299" t="s">
        <v>25</v>
      </c>
      <c r="F299" t="s">
        <v>18</v>
      </c>
      <c r="G299" t="s">
        <v>19</v>
      </c>
      <c r="H299" t="s">
        <v>20</v>
      </c>
      <c r="I299" t="s">
        <v>40</v>
      </c>
      <c r="J299" t="s">
        <v>109</v>
      </c>
      <c r="K299">
        <v>179.69</v>
      </c>
      <c r="L299">
        <v>7</v>
      </c>
      <c r="M299">
        <v>0</v>
      </c>
      <c r="N299">
        <v>38.42</v>
      </c>
      <c r="O299" t="str">
        <f t="shared" si="4"/>
        <v>Jun-2024</v>
      </c>
    </row>
    <row r="300" spans="1:15" x14ac:dyDescent="0.25">
      <c r="A300" t="s">
        <v>480</v>
      </c>
      <c r="B300" s="2">
        <v>45367</v>
      </c>
      <c r="C300" s="2">
        <v>45374</v>
      </c>
      <c r="D300" t="s">
        <v>79</v>
      </c>
      <c r="E300" t="s">
        <v>25</v>
      </c>
      <c r="F300" t="s">
        <v>18</v>
      </c>
      <c r="G300" t="s">
        <v>58</v>
      </c>
      <c r="H300" t="s">
        <v>59</v>
      </c>
      <c r="I300" t="s">
        <v>21</v>
      </c>
      <c r="J300" t="s">
        <v>103</v>
      </c>
      <c r="K300">
        <v>10803.4</v>
      </c>
      <c r="L300">
        <v>5</v>
      </c>
      <c r="M300">
        <v>0</v>
      </c>
      <c r="N300">
        <v>1573.14</v>
      </c>
      <c r="O300" t="str">
        <f t="shared" si="4"/>
        <v>Mar-2024</v>
      </c>
    </row>
    <row r="301" spans="1:15" x14ac:dyDescent="0.25">
      <c r="A301" t="s">
        <v>481</v>
      </c>
      <c r="B301" s="2">
        <v>45368</v>
      </c>
      <c r="C301" s="2">
        <v>45373</v>
      </c>
      <c r="D301" t="s">
        <v>205</v>
      </c>
      <c r="E301" t="s">
        <v>17</v>
      </c>
      <c r="F301" t="s">
        <v>18</v>
      </c>
      <c r="G301" t="s">
        <v>19</v>
      </c>
      <c r="H301" t="s">
        <v>20</v>
      </c>
      <c r="I301" t="s">
        <v>40</v>
      </c>
      <c r="J301" t="s">
        <v>41</v>
      </c>
      <c r="K301">
        <v>47.32</v>
      </c>
      <c r="L301">
        <v>2</v>
      </c>
      <c r="M301">
        <v>0</v>
      </c>
      <c r="N301">
        <v>10.8</v>
      </c>
      <c r="O301" t="str">
        <f t="shared" si="4"/>
        <v>Mar-2024</v>
      </c>
    </row>
    <row r="302" spans="1:15" x14ac:dyDescent="0.25">
      <c r="A302" t="s">
        <v>482</v>
      </c>
      <c r="B302" s="2">
        <v>45452</v>
      </c>
      <c r="C302" s="2">
        <v>45453</v>
      </c>
      <c r="D302" t="s">
        <v>237</v>
      </c>
      <c r="E302" t="s">
        <v>25</v>
      </c>
      <c r="F302" t="s">
        <v>33</v>
      </c>
      <c r="G302" t="s">
        <v>34</v>
      </c>
      <c r="H302" t="s">
        <v>35</v>
      </c>
      <c r="I302" t="s">
        <v>40</v>
      </c>
      <c r="J302" t="s">
        <v>41</v>
      </c>
      <c r="K302">
        <v>17.32</v>
      </c>
      <c r="L302">
        <v>4</v>
      </c>
      <c r="M302">
        <v>0</v>
      </c>
      <c r="N302">
        <v>2.99</v>
      </c>
      <c r="O302" t="str">
        <f t="shared" si="4"/>
        <v>Jun-2024</v>
      </c>
    </row>
    <row r="303" spans="1:15" x14ac:dyDescent="0.25">
      <c r="A303" t="s">
        <v>483</v>
      </c>
      <c r="B303" s="2">
        <v>45694</v>
      </c>
      <c r="C303" s="2">
        <v>45699</v>
      </c>
      <c r="D303" t="s">
        <v>239</v>
      </c>
      <c r="E303" t="s">
        <v>17</v>
      </c>
      <c r="F303" t="s">
        <v>63</v>
      </c>
      <c r="G303" t="s">
        <v>112</v>
      </c>
      <c r="H303" t="s">
        <v>113</v>
      </c>
      <c r="I303" t="s">
        <v>40</v>
      </c>
      <c r="J303" t="s">
        <v>41</v>
      </c>
      <c r="K303">
        <v>117.12</v>
      </c>
      <c r="L303">
        <v>8</v>
      </c>
      <c r="M303">
        <v>0</v>
      </c>
      <c r="N303">
        <v>7.77</v>
      </c>
      <c r="O303" t="str">
        <f t="shared" si="4"/>
        <v>Feb-2025</v>
      </c>
    </row>
    <row r="304" spans="1:15" x14ac:dyDescent="0.25">
      <c r="A304" t="s">
        <v>484</v>
      </c>
      <c r="B304" s="2">
        <v>45932</v>
      </c>
      <c r="C304" s="2">
        <v>45937</v>
      </c>
      <c r="D304" t="s">
        <v>197</v>
      </c>
      <c r="E304" t="s">
        <v>80</v>
      </c>
      <c r="F304" t="s">
        <v>18</v>
      </c>
      <c r="G304" t="s">
        <v>58</v>
      </c>
      <c r="H304" t="s">
        <v>59</v>
      </c>
      <c r="I304" t="s">
        <v>29</v>
      </c>
      <c r="J304" t="s">
        <v>77</v>
      </c>
      <c r="K304">
        <v>573.86</v>
      </c>
      <c r="L304">
        <v>2</v>
      </c>
      <c r="M304">
        <v>0</v>
      </c>
      <c r="N304">
        <v>-13.25</v>
      </c>
      <c r="O304" t="str">
        <f t="shared" si="4"/>
        <v>Oct-2025</v>
      </c>
    </row>
    <row r="305" spans="1:15" x14ac:dyDescent="0.25">
      <c r="A305" t="s">
        <v>485</v>
      </c>
      <c r="B305" s="2">
        <v>45774</v>
      </c>
      <c r="C305" s="2">
        <v>45778</v>
      </c>
      <c r="D305" t="s">
        <v>148</v>
      </c>
      <c r="E305" t="s">
        <v>25</v>
      </c>
      <c r="F305" t="s">
        <v>63</v>
      </c>
      <c r="G305" t="s">
        <v>149</v>
      </c>
      <c r="H305" t="s">
        <v>150</v>
      </c>
      <c r="I305" t="s">
        <v>40</v>
      </c>
      <c r="J305" t="s">
        <v>48</v>
      </c>
      <c r="K305">
        <v>180.05</v>
      </c>
      <c r="L305">
        <v>5</v>
      </c>
      <c r="M305">
        <v>0</v>
      </c>
      <c r="N305">
        <v>43.67</v>
      </c>
      <c r="O305" t="str">
        <f t="shared" si="4"/>
        <v>Apr-2025</v>
      </c>
    </row>
    <row r="306" spans="1:15" x14ac:dyDescent="0.25">
      <c r="A306" t="s">
        <v>486</v>
      </c>
      <c r="B306" s="2">
        <v>45748</v>
      </c>
      <c r="C306" s="2">
        <v>45749</v>
      </c>
      <c r="D306" t="s">
        <v>487</v>
      </c>
      <c r="E306" t="s">
        <v>17</v>
      </c>
      <c r="F306" t="s">
        <v>33</v>
      </c>
      <c r="G306" t="s">
        <v>38</v>
      </c>
      <c r="H306" t="s">
        <v>39</v>
      </c>
      <c r="I306" t="s">
        <v>40</v>
      </c>
      <c r="J306" t="s">
        <v>109</v>
      </c>
      <c r="K306">
        <v>117.12</v>
      </c>
      <c r="L306">
        <v>8</v>
      </c>
      <c r="M306">
        <v>0</v>
      </c>
      <c r="N306">
        <v>13.81</v>
      </c>
      <c r="O306" t="str">
        <f t="shared" si="4"/>
        <v>Apr-2025</v>
      </c>
    </row>
    <row r="307" spans="1:15" x14ac:dyDescent="0.25">
      <c r="A307" t="s">
        <v>488</v>
      </c>
      <c r="B307" s="2">
        <v>45975</v>
      </c>
      <c r="C307" s="2">
        <v>45976</v>
      </c>
      <c r="D307" t="s">
        <v>362</v>
      </c>
      <c r="E307" t="s">
        <v>80</v>
      </c>
      <c r="F307" t="s">
        <v>63</v>
      </c>
      <c r="G307" t="s">
        <v>106</v>
      </c>
      <c r="H307" t="s">
        <v>107</v>
      </c>
      <c r="I307" t="s">
        <v>29</v>
      </c>
      <c r="J307" t="s">
        <v>87</v>
      </c>
      <c r="K307">
        <v>707.99</v>
      </c>
      <c r="L307">
        <v>6</v>
      </c>
      <c r="M307">
        <v>0.3</v>
      </c>
      <c r="N307">
        <v>14.43</v>
      </c>
      <c r="O307" t="str">
        <f t="shared" si="4"/>
        <v>Nov-2025</v>
      </c>
    </row>
    <row r="308" spans="1:15" x14ac:dyDescent="0.25">
      <c r="A308" t="s">
        <v>489</v>
      </c>
      <c r="B308" s="2">
        <v>45720</v>
      </c>
      <c r="C308" s="2">
        <v>45725</v>
      </c>
      <c r="D308" t="s">
        <v>378</v>
      </c>
      <c r="E308" t="s">
        <v>80</v>
      </c>
      <c r="F308" t="s">
        <v>26</v>
      </c>
      <c r="G308" t="s">
        <v>27</v>
      </c>
      <c r="H308" t="s">
        <v>28</v>
      </c>
      <c r="I308" t="s">
        <v>29</v>
      </c>
      <c r="J308" t="s">
        <v>30</v>
      </c>
      <c r="K308">
        <v>722.09</v>
      </c>
      <c r="L308">
        <v>8</v>
      </c>
      <c r="M308">
        <v>0.15</v>
      </c>
      <c r="N308">
        <v>227.09</v>
      </c>
      <c r="O308" t="str">
        <f t="shared" si="4"/>
        <v>Mar-2025</v>
      </c>
    </row>
    <row r="309" spans="1:15" x14ac:dyDescent="0.25">
      <c r="A309" t="s">
        <v>490</v>
      </c>
      <c r="B309" s="2">
        <v>45806</v>
      </c>
      <c r="C309" s="2">
        <v>45811</v>
      </c>
      <c r="D309" t="s">
        <v>352</v>
      </c>
      <c r="E309" t="s">
        <v>17</v>
      </c>
      <c r="F309" t="s">
        <v>33</v>
      </c>
      <c r="G309" t="s">
        <v>141</v>
      </c>
      <c r="H309" t="s">
        <v>142</v>
      </c>
      <c r="I309" t="s">
        <v>29</v>
      </c>
      <c r="J309" t="s">
        <v>30</v>
      </c>
      <c r="K309">
        <v>408.18</v>
      </c>
      <c r="L309">
        <v>3</v>
      </c>
      <c r="M309">
        <v>0</v>
      </c>
      <c r="N309">
        <v>136.65</v>
      </c>
      <c r="O309" t="str">
        <f t="shared" si="4"/>
        <v>May-2025</v>
      </c>
    </row>
    <row r="310" spans="1:15" x14ac:dyDescent="0.25">
      <c r="A310" t="s">
        <v>491</v>
      </c>
      <c r="B310" s="2">
        <v>45421</v>
      </c>
      <c r="C310" s="2">
        <v>45422</v>
      </c>
      <c r="D310" t="s">
        <v>291</v>
      </c>
      <c r="E310" t="s">
        <v>17</v>
      </c>
      <c r="F310" t="s">
        <v>33</v>
      </c>
      <c r="G310" t="s">
        <v>38</v>
      </c>
      <c r="H310" t="s">
        <v>39</v>
      </c>
      <c r="I310" t="s">
        <v>29</v>
      </c>
      <c r="J310" t="s">
        <v>87</v>
      </c>
      <c r="K310">
        <v>3070.9</v>
      </c>
      <c r="L310">
        <v>7</v>
      </c>
      <c r="M310">
        <v>0</v>
      </c>
      <c r="N310">
        <v>244.58</v>
      </c>
      <c r="O310" t="str">
        <f t="shared" si="4"/>
        <v>May-2024</v>
      </c>
    </row>
    <row r="311" spans="1:15" x14ac:dyDescent="0.25">
      <c r="A311" t="s">
        <v>492</v>
      </c>
      <c r="B311" s="2">
        <v>45381</v>
      </c>
      <c r="C311" s="2">
        <v>45385</v>
      </c>
      <c r="D311" t="s">
        <v>155</v>
      </c>
      <c r="E311" t="s">
        <v>17</v>
      </c>
      <c r="F311" t="s">
        <v>26</v>
      </c>
      <c r="G311" t="s">
        <v>27</v>
      </c>
      <c r="H311" t="s">
        <v>28</v>
      </c>
      <c r="I311" t="s">
        <v>40</v>
      </c>
      <c r="J311" t="s">
        <v>98</v>
      </c>
      <c r="K311">
        <v>485.98</v>
      </c>
      <c r="L311">
        <v>6</v>
      </c>
      <c r="M311">
        <v>0.3</v>
      </c>
      <c r="N311">
        <v>64.569999999999993</v>
      </c>
      <c r="O311" t="str">
        <f t="shared" si="4"/>
        <v>Mar-2024</v>
      </c>
    </row>
    <row r="312" spans="1:15" x14ac:dyDescent="0.25">
      <c r="A312" t="s">
        <v>493</v>
      </c>
      <c r="B312" s="2">
        <v>45445</v>
      </c>
      <c r="C312" s="2">
        <v>45447</v>
      </c>
      <c r="D312" t="s">
        <v>225</v>
      </c>
      <c r="E312" t="s">
        <v>25</v>
      </c>
      <c r="F312" t="s">
        <v>33</v>
      </c>
      <c r="G312" t="s">
        <v>34</v>
      </c>
      <c r="H312" t="s">
        <v>35</v>
      </c>
      <c r="I312" t="s">
        <v>21</v>
      </c>
      <c r="J312" t="s">
        <v>123</v>
      </c>
      <c r="K312">
        <v>2126.42</v>
      </c>
      <c r="L312">
        <v>2</v>
      </c>
      <c r="M312">
        <v>0</v>
      </c>
      <c r="N312">
        <v>49.22</v>
      </c>
      <c r="O312" t="str">
        <f t="shared" si="4"/>
        <v>Jun-2024</v>
      </c>
    </row>
    <row r="313" spans="1:15" x14ac:dyDescent="0.25">
      <c r="A313" t="s">
        <v>494</v>
      </c>
      <c r="B313" s="2">
        <v>45684</v>
      </c>
      <c r="C313" s="2">
        <v>45690</v>
      </c>
      <c r="D313" t="s">
        <v>203</v>
      </c>
      <c r="E313" t="s">
        <v>25</v>
      </c>
      <c r="F313" t="s">
        <v>18</v>
      </c>
      <c r="G313" t="s">
        <v>81</v>
      </c>
      <c r="H313" t="s">
        <v>82</v>
      </c>
      <c r="I313" t="s">
        <v>21</v>
      </c>
      <c r="J313" t="s">
        <v>60</v>
      </c>
      <c r="K313">
        <v>1206.56</v>
      </c>
      <c r="L313">
        <v>8</v>
      </c>
      <c r="M313">
        <v>0</v>
      </c>
      <c r="N313">
        <v>122.66</v>
      </c>
      <c r="O313" t="str">
        <f t="shared" si="4"/>
        <v>Jan-2025</v>
      </c>
    </row>
    <row r="314" spans="1:15" x14ac:dyDescent="0.25">
      <c r="A314" t="s">
        <v>495</v>
      </c>
      <c r="B314" s="2">
        <v>45631</v>
      </c>
      <c r="C314" s="2">
        <v>45637</v>
      </c>
      <c r="D314" t="s">
        <v>100</v>
      </c>
      <c r="E314" t="s">
        <v>25</v>
      </c>
      <c r="F314" t="s">
        <v>33</v>
      </c>
      <c r="G314" t="s">
        <v>38</v>
      </c>
      <c r="H314" t="s">
        <v>39</v>
      </c>
      <c r="I314" t="s">
        <v>21</v>
      </c>
      <c r="J314" t="s">
        <v>123</v>
      </c>
      <c r="K314">
        <v>4031.04</v>
      </c>
      <c r="L314">
        <v>8</v>
      </c>
      <c r="M314">
        <v>0</v>
      </c>
      <c r="N314">
        <v>268.52</v>
      </c>
      <c r="O314" t="str">
        <f t="shared" si="4"/>
        <v>Dec-2024</v>
      </c>
    </row>
    <row r="315" spans="1:15" x14ac:dyDescent="0.25">
      <c r="A315" t="s">
        <v>496</v>
      </c>
      <c r="B315" s="2">
        <v>46004</v>
      </c>
      <c r="C315" s="2">
        <v>46010</v>
      </c>
      <c r="D315" t="s">
        <v>37</v>
      </c>
      <c r="E315" t="s">
        <v>25</v>
      </c>
      <c r="F315" t="s">
        <v>18</v>
      </c>
      <c r="G315" t="s">
        <v>81</v>
      </c>
      <c r="H315" t="s">
        <v>82</v>
      </c>
      <c r="I315" t="s">
        <v>40</v>
      </c>
      <c r="J315" t="s">
        <v>98</v>
      </c>
      <c r="K315">
        <v>114.64</v>
      </c>
      <c r="L315">
        <v>4</v>
      </c>
      <c r="M315">
        <v>0</v>
      </c>
      <c r="N315">
        <v>16.07</v>
      </c>
      <c r="O315" t="str">
        <f t="shared" si="4"/>
        <v>Dec-2025</v>
      </c>
    </row>
    <row r="316" spans="1:15" x14ac:dyDescent="0.25">
      <c r="A316" t="s">
        <v>497</v>
      </c>
      <c r="B316" s="2">
        <v>45383</v>
      </c>
      <c r="C316" s="2">
        <v>45385</v>
      </c>
      <c r="D316" t="s">
        <v>237</v>
      </c>
      <c r="E316" t="s">
        <v>80</v>
      </c>
      <c r="F316" t="s">
        <v>33</v>
      </c>
      <c r="G316" t="s">
        <v>141</v>
      </c>
      <c r="H316" t="s">
        <v>142</v>
      </c>
      <c r="I316" t="s">
        <v>40</v>
      </c>
      <c r="J316" t="s">
        <v>109</v>
      </c>
      <c r="K316">
        <v>129.91999999999999</v>
      </c>
      <c r="L316">
        <v>7</v>
      </c>
      <c r="M316">
        <v>0.2</v>
      </c>
      <c r="N316">
        <v>25.38</v>
      </c>
      <c r="O316" t="str">
        <f t="shared" si="4"/>
        <v>Apr-2024</v>
      </c>
    </row>
    <row r="317" spans="1:15" x14ac:dyDescent="0.25">
      <c r="A317" t="s">
        <v>498</v>
      </c>
      <c r="B317" s="2">
        <v>46018</v>
      </c>
      <c r="C317" s="2">
        <v>46023</v>
      </c>
      <c r="D317" t="s">
        <v>95</v>
      </c>
      <c r="E317" t="s">
        <v>25</v>
      </c>
      <c r="F317" t="s">
        <v>63</v>
      </c>
      <c r="G317" t="s">
        <v>149</v>
      </c>
      <c r="H317" t="s">
        <v>150</v>
      </c>
      <c r="I317" t="s">
        <v>21</v>
      </c>
      <c r="J317" t="s">
        <v>103</v>
      </c>
      <c r="K317">
        <v>1187.45</v>
      </c>
      <c r="L317">
        <v>1</v>
      </c>
      <c r="M317">
        <v>0</v>
      </c>
      <c r="N317">
        <v>128.04</v>
      </c>
      <c r="O317" t="str">
        <f t="shared" si="4"/>
        <v>Dec-2025</v>
      </c>
    </row>
    <row r="318" spans="1:15" x14ac:dyDescent="0.25">
      <c r="A318" t="s">
        <v>499</v>
      </c>
      <c r="B318" s="2">
        <v>45661</v>
      </c>
      <c r="C318" s="2">
        <v>45667</v>
      </c>
      <c r="D318" t="s">
        <v>214</v>
      </c>
      <c r="E318" t="s">
        <v>17</v>
      </c>
      <c r="F318" t="s">
        <v>26</v>
      </c>
      <c r="G318" t="s">
        <v>51</v>
      </c>
      <c r="H318" t="s">
        <v>52</v>
      </c>
      <c r="I318" t="s">
        <v>29</v>
      </c>
      <c r="J318" t="s">
        <v>55</v>
      </c>
      <c r="K318">
        <v>770.87</v>
      </c>
      <c r="L318">
        <v>6</v>
      </c>
      <c r="M318">
        <v>0.3</v>
      </c>
      <c r="N318">
        <v>145.9</v>
      </c>
      <c r="O318" t="str">
        <f t="shared" si="4"/>
        <v>Jan-2025</v>
      </c>
    </row>
    <row r="319" spans="1:15" x14ac:dyDescent="0.25">
      <c r="A319" t="s">
        <v>500</v>
      </c>
      <c r="B319" s="2">
        <v>45792</v>
      </c>
      <c r="C319" s="2">
        <v>45797</v>
      </c>
      <c r="D319" t="s">
        <v>285</v>
      </c>
      <c r="E319" t="s">
        <v>25</v>
      </c>
      <c r="F319" t="s">
        <v>33</v>
      </c>
      <c r="G319" t="s">
        <v>34</v>
      </c>
      <c r="H319" t="s">
        <v>35</v>
      </c>
      <c r="I319" t="s">
        <v>21</v>
      </c>
      <c r="J319" t="s">
        <v>22</v>
      </c>
      <c r="K319">
        <v>2918.49</v>
      </c>
      <c r="L319">
        <v>8</v>
      </c>
      <c r="M319">
        <v>0.15</v>
      </c>
      <c r="N319">
        <v>628.64</v>
      </c>
      <c r="O319" t="str">
        <f t="shared" si="4"/>
        <v>May-2025</v>
      </c>
    </row>
    <row r="320" spans="1:15" x14ac:dyDescent="0.25">
      <c r="A320" t="s">
        <v>501</v>
      </c>
      <c r="B320" s="2">
        <v>45687</v>
      </c>
      <c r="C320" s="2">
        <v>45688</v>
      </c>
      <c r="D320" t="s">
        <v>115</v>
      </c>
      <c r="E320" t="s">
        <v>17</v>
      </c>
      <c r="F320" t="s">
        <v>63</v>
      </c>
      <c r="G320" t="s">
        <v>67</v>
      </c>
      <c r="H320" t="s">
        <v>68</v>
      </c>
      <c r="I320" t="s">
        <v>40</v>
      </c>
      <c r="J320" t="s">
        <v>48</v>
      </c>
      <c r="K320">
        <v>22.93</v>
      </c>
      <c r="L320">
        <v>4</v>
      </c>
      <c r="M320">
        <v>0.3</v>
      </c>
      <c r="N320">
        <v>2.67</v>
      </c>
      <c r="O320" t="str">
        <f t="shared" si="4"/>
        <v>Jan-2025</v>
      </c>
    </row>
    <row r="321" spans="1:15" x14ac:dyDescent="0.25">
      <c r="A321" t="s">
        <v>502</v>
      </c>
      <c r="B321" s="2">
        <v>45990</v>
      </c>
      <c r="C321" s="2">
        <v>45991</v>
      </c>
      <c r="D321" t="s">
        <v>189</v>
      </c>
      <c r="E321" t="s">
        <v>17</v>
      </c>
      <c r="F321" t="s">
        <v>26</v>
      </c>
      <c r="G321" t="s">
        <v>90</v>
      </c>
      <c r="H321" t="s">
        <v>91</v>
      </c>
      <c r="I321" t="s">
        <v>40</v>
      </c>
      <c r="J321" t="s">
        <v>109</v>
      </c>
      <c r="K321">
        <v>59.42</v>
      </c>
      <c r="L321">
        <v>3</v>
      </c>
      <c r="M321">
        <v>0.2</v>
      </c>
      <c r="N321">
        <v>6.06</v>
      </c>
      <c r="O321" t="str">
        <f t="shared" si="4"/>
        <v>Nov-2025</v>
      </c>
    </row>
    <row r="322" spans="1:15" x14ac:dyDescent="0.25">
      <c r="A322" t="s">
        <v>503</v>
      </c>
      <c r="B322" s="2">
        <v>46021</v>
      </c>
      <c r="C322" s="2">
        <v>46027</v>
      </c>
      <c r="D322" t="s">
        <v>291</v>
      </c>
      <c r="E322" t="s">
        <v>25</v>
      </c>
      <c r="F322" t="s">
        <v>18</v>
      </c>
      <c r="G322" t="s">
        <v>46</v>
      </c>
      <c r="H322" t="s">
        <v>47</v>
      </c>
      <c r="I322" t="s">
        <v>40</v>
      </c>
      <c r="J322" t="s">
        <v>176</v>
      </c>
      <c r="K322">
        <v>63</v>
      </c>
      <c r="L322">
        <v>7</v>
      </c>
      <c r="M322">
        <v>0.1</v>
      </c>
      <c r="N322">
        <v>19.239999999999998</v>
      </c>
      <c r="O322" t="str">
        <f t="shared" ref="O322:O385" si="5">TEXT(B322,"mmm-yyyy")</f>
        <v>Dec-2025</v>
      </c>
    </row>
    <row r="323" spans="1:15" x14ac:dyDescent="0.25">
      <c r="A323" t="s">
        <v>504</v>
      </c>
      <c r="B323" s="2">
        <v>45825</v>
      </c>
      <c r="C323" s="2">
        <v>45832</v>
      </c>
      <c r="D323" t="s">
        <v>130</v>
      </c>
      <c r="E323" t="s">
        <v>80</v>
      </c>
      <c r="F323" t="s">
        <v>33</v>
      </c>
      <c r="G323" t="s">
        <v>141</v>
      </c>
      <c r="H323" t="s">
        <v>142</v>
      </c>
      <c r="I323" t="s">
        <v>29</v>
      </c>
      <c r="J323" t="s">
        <v>30</v>
      </c>
      <c r="K323">
        <v>194.6</v>
      </c>
      <c r="L323">
        <v>2</v>
      </c>
      <c r="M323">
        <v>0</v>
      </c>
      <c r="N323">
        <v>39.590000000000003</v>
      </c>
      <c r="O323" t="str">
        <f t="shared" si="5"/>
        <v>Jun-2025</v>
      </c>
    </row>
    <row r="324" spans="1:15" x14ac:dyDescent="0.25">
      <c r="A324" t="s">
        <v>505</v>
      </c>
      <c r="B324" s="2">
        <v>45402</v>
      </c>
      <c r="C324" s="2">
        <v>45406</v>
      </c>
      <c r="D324" t="s">
        <v>130</v>
      </c>
      <c r="E324" t="s">
        <v>80</v>
      </c>
      <c r="F324" t="s">
        <v>63</v>
      </c>
      <c r="G324" t="s">
        <v>106</v>
      </c>
      <c r="H324" t="s">
        <v>107</v>
      </c>
      <c r="I324" t="s">
        <v>21</v>
      </c>
      <c r="J324" t="s">
        <v>60</v>
      </c>
      <c r="K324">
        <v>114.04</v>
      </c>
      <c r="L324">
        <v>5</v>
      </c>
      <c r="M324">
        <v>0.2</v>
      </c>
      <c r="N324">
        <v>16.829999999999998</v>
      </c>
      <c r="O324" t="str">
        <f t="shared" si="5"/>
        <v>Apr-2024</v>
      </c>
    </row>
    <row r="325" spans="1:15" x14ac:dyDescent="0.25">
      <c r="A325" t="s">
        <v>506</v>
      </c>
      <c r="B325" s="2">
        <v>45821</v>
      </c>
      <c r="C325" s="2">
        <v>45828</v>
      </c>
      <c r="D325" t="s">
        <v>168</v>
      </c>
      <c r="E325" t="s">
        <v>17</v>
      </c>
      <c r="F325" t="s">
        <v>63</v>
      </c>
      <c r="G325" t="s">
        <v>112</v>
      </c>
      <c r="H325" t="s">
        <v>113</v>
      </c>
      <c r="I325" t="s">
        <v>21</v>
      </c>
      <c r="J325" t="s">
        <v>60</v>
      </c>
      <c r="K325">
        <v>55.78</v>
      </c>
      <c r="L325">
        <v>1</v>
      </c>
      <c r="M325">
        <v>0.3</v>
      </c>
      <c r="N325">
        <v>17.14</v>
      </c>
      <c r="O325" t="str">
        <f t="shared" si="5"/>
        <v>Jun-2025</v>
      </c>
    </row>
    <row r="326" spans="1:15" x14ac:dyDescent="0.25">
      <c r="A326" t="s">
        <v>507</v>
      </c>
      <c r="B326" s="2">
        <v>45963</v>
      </c>
      <c r="C326" s="2">
        <v>45967</v>
      </c>
      <c r="D326" t="s">
        <v>105</v>
      </c>
      <c r="E326" t="s">
        <v>17</v>
      </c>
      <c r="F326" t="s">
        <v>33</v>
      </c>
      <c r="G326" t="s">
        <v>141</v>
      </c>
      <c r="H326" t="s">
        <v>142</v>
      </c>
      <c r="I326" t="s">
        <v>21</v>
      </c>
      <c r="J326" t="s">
        <v>103</v>
      </c>
      <c r="K326">
        <v>11224.93</v>
      </c>
      <c r="L326">
        <v>5</v>
      </c>
      <c r="M326">
        <v>0.1</v>
      </c>
      <c r="N326">
        <v>1923.72</v>
      </c>
      <c r="O326" t="str">
        <f t="shared" si="5"/>
        <v>Nov-2025</v>
      </c>
    </row>
    <row r="327" spans="1:15" x14ac:dyDescent="0.25">
      <c r="A327" t="s">
        <v>508</v>
      </c>
      <c r="B327" s="2">
        <v>46022</v>
      </c>
      <c r="C327" s="2">
        <v>46024</v>
      </c>
      <c r="D327" t="s">
        <v>134</v>
      </c>
      <c r="E327" t="s">
        <v>80</v>
      </c>
      <c r="F327" t="s">
        <v>18</v>
      </c>
      <c r="G327" t="s">
        <v>71</v>
      </c>
      <c r="H327" t="s">
        <v>72</v>
      </c>
      <c r="I327" t="s">
        <v>21</v>
      </c>
      <c r="J327" t="s">
        <v>103</v>
      </c>
      <c r="K327">
        <v>11583.36</v>
      </c>
      <c r="L327">
        <v>8</v>
      </c>
      <c r="M327">
        <v>0.2</v>
      </c>
      <c r="N327">
        <v>1824.95</v>
      </c>
      <c r="O327" t="str">
        <f t="shared" si="5"/>
        <v>Dec-2025</v>
      </c>
    </row>
    <row r="328" spans="1:15" x14ac:dyDescent="0.25">
      <c r="A328" t="s">
        <v>509</v>
      </c>
      <c r="B328" s="2">
        <v>45774</v>
      </c>
      <c r="C328" s="2">
        <v>45776</v>
      </c>
      <c r="D328" t="s">
        <v>450</v>
      </c>
      <c r="E328" t="s">
        <v>17</v>
      </c>
      <c r="F328" t="s">
        <v>63</v>
      </c>
      <c r="G328" t="s">
        <v>67</v>
      </c>
      <c r="H328" t="s">
        <v>68</v>
      </c>
      <c r="I328" t="s">
        <v>21</v>
      </c>
      <c r="J328" t="s">
        <v>103</v>
      </c>
      <c r="K328">
        <v>4632.05</v>
      </c>
      <c r="L328">
        <v>3</v>
      </c>
      <c r="M328">
        <v>0.2</v>
      </c>
      <c r="N328">
        <v>1481.69</v>
      </c>
      <c r="O328" t="str">
        <f t="shared" si="5"/>
        <v>Apr-2025</v>
      </c>
    </row>
    <row r="329" spans="1:15" x14ac:dyDescent="0.25">
      <c r="A329" t="s">
        <v>510</v>
      </c>
      <c r="B329" s="2">
        <v>45722</v>
      </c>
      <c r="C329" s="2">
        <v>45729</v>
      </c>
      <c r="D329" t="s">
        <v>50</v>
      </c>
      <c r="E329" t="s">
        <v>25</v>
      </c>
      <c r="F329" t="s">
        <v>18</v>
      </c>
      <c r="G329" t="s">
        <v>46</v>
      </c>
      <c r="H329" t="s">
        <v>47</v>
      </c>
      <c r="I329" t="s">
        <v>40</v>
      </c>
      <c r="J329" t="s">
        <v>41</v>
      </c>
      <c r="K329">
        <v>134.4</v>
      </c>
      <c r="L329">
        <v>6</v>
      </c>
      <c r="M329">
        <v>0</v>
      </c>
      <c r="N329">
        <v>30.33</v>
      </c>
      <c r="O329" t="str">
        <f t="shared" si="5"/>
        <v>Mar-2025</v>
      </c>
    </row>
    <row r="330" spans="1:15" x14ac:dyDescent="0.25">
      <c r="A330" t="s">
        <v>511</v>
      </c>
      <c r="B330" s="2">
        <v>45886</v>
      </c>
      <c r="C330" s="2">
        <v>45891</v>
      </c>
      <c r="D330" t="s">
        <v>186</v>
      </c>
      <c r="E330" t="s">
        <v>80</v>
      </c>
      <c r="F330" t="s">
        <v>33</v>
      </c>
      <c r="G330" t="s">
        <v>34</v>
      </c>
      <c r="H330" t="s">
        <v>35</v>
      </c>
      <c r="I330" t="s">
        <v>40</v>
      </c>
      <c r="J330" t="s">
        <v>48</v>
      </c>
      <c r="K330">
        <v>16.010000000000002</v>
      </c>
      <c r="L330">
        <v>4</v>
      </c>
      <c r="M330">
        <v>0.15</v>
      </c>
      <c r="N330">
        <v>1.38</v>
      </c>
      <c r="O330" t="str">
        <f t="shared" si="5"/>
        <v>Aug-2025</v>
      </c>
    </row>
    <row r="331" spans="1:15" x14ac:dyDescent="0.25">
      <c r="A331" t="s">
        <v>512</v>
      </c>
      <c r="B331" s="2">
        <v>45432</v>
      </c>
      <c r="C331" s="2">
        <v>45434</v>
      </c>
      <c r="D331" t="s">
        <v>365</v>
      </c>
      <c r="E331" t="s">
        <v>17</v>
      </c>
      <c r="F331" t="s">
        <v>33</v>
      </c>
      <c r="G331" t="s">
        <v>165</v>
      </c>
      <c r="H331" t="s">
        <v>166</v>
      </c>
      <c r="I331" t="s">
        <v>40</v>
      </c>
      <c r="J331" t="s">
        <v>109</v>
      </c>
      <c r="K331">
        <v>147.6</v>
      </c>
      <c r="L331">
        <v>8</v>
      </c>
      <c r="M331">
        <v>0</v>
      </c>
      <c r="N331">
        <v>21.39</v>
      </c>
      <c r="O331" t="str">
        <f t="shared" si="5"/>
        <v>May-2024</v>
      </c>
    </row>
    <row r="332" spans="1:15" x14ac:dyDescent="0.25">
      <c r="A332" t="s">
        <v>513</v>
      </c>
      <c r="B332" s="2">
        <v>45612</v>
      </c>
      <c r="C332" s="2">
        <v>45618</v>
      </c>
      <c r="D332" t="s">
        <v>125</v>
      </c>
      <c r="E332" t="s">
        <v>17</v>
      </c>
      <c r="F332" t="s">
        <v>26</v>
      </c>
      <c r="G332" t="s">
        <v>51</v>
      </c>
      <c r="H332" t="s">
        <v>52</v>
      </c>
      <c r="I332" t="s">
        <v>40</v>
      </c>
      <c r="J332" t="s">
        <v>98</v>
      </c>
      <c r="K332">
        <v>168.16</v>
      </c>
      <c r="L332">
        <v>8</v>
      </c>
      <c r="M332">
        <v>0</v>
      </c>
      <c r="N332">
        <v>18.97</v>
      </c>
      <c r="O332" t="str">
        <f t="shared" si="5"/>
        <v>Nov-2024</v>
      </c>
    </row>
    <row r="333" spans="1:15" x14ac:dyDescent="0.25">
      <c r="A333" t="s">
        <v>514</v>
      </c>
      <c r="B333" s="2">
        <v>45424</v>
      </c>
      <c r="C333" s="2">
        <v>45429</v>
      </c>
      <c r="D333" t="s">
        <v>111</v>
      </c>
      <c r="E333" t="s">
        <v>17</v>
      </c>
      <c r="F333" t="s">
        <v>26</v>
      </c>
      <c r="G333" t="s">
        <v>27</v>
      </c>
      <c r="H333" t="s">
        <v>28</v>
      </c>
      <c r="I333" t="s">
        <v>29</v>
      </c>
      <c r="J333" t="s">
        <v>30</v>
      </c>
      <c r="K333">
        <v>445.54</v>
      </c>
      <c r="L333">
        <v>7</v>
      </c>
      <c r="M333">
        <v>0.1</v>
      </c>
      <c r="N333">
        <v>79.62</v>
      </c>
      <c r="O333" t="str">
        <f t="shared" si="5"/>
        <v>May-2024</v>
      </c>
    </row>
    <row r="334" spans="1:15" x14ac:dyDescent="0.25">
      <c r="A334" t="s">
        <v>515</v>
      </c>
      <c r="B334" s="2">
        <v>45674</v>
      </c>
      <c r="C334" s="2">
        <v>45675</v>
      </c>
      <c r="D334" t="s">
        <v>341</v>
      </c>
      <c r="E334" t="s">
        <v>17</v>
      </c>
      <c r="F334" t="s">
        <v>33</v>
      </c>
      <c r="G334" t="s">
        <v>131</v>
      </c>
      <c r="H334" t="s">
        <v>132</v>
      </c>
      <c r="I334" t="s">
        <v>29</v>
      </c>
      <c r="J334" t="s">
        <v>55</v>
      </c>
      <c r="K334">
        <v>2175.36</v>
      </c>
      <c r="L334">
        <v>4</v>
      </c>
      <c r="M334">
        <v>0</v>
      </c>
      <c r="N334">
        <v>550.41999999999996</v>
      </c>
      <c r="O334" t="str">
        <f t="shared" si="5"/>
        <v>Jan-2025</v>
      </c>
    </row>
    <row r="335" spans="1:15" x14ac:dyDescent="0.25">
      <c r="A335" t="s">
        <v>516</v>
      </c>
      <c r="B335" s="2">
        <v>45397</v>
      </c>
      <c r="C335" s="2">
        <v>45401</v>
      </c>
      <c r="D335" t="s">
        <v>148</v>
      </c>
      <c r="E335" t="s">
        <v>17</v>
      </c>
      <c r="F335" t="s">
        <v>26</v>
      </c>
      <c r="G335" t="s">
        <v>90</v>
      </c>
      <c r="H335" t="s">
        <v>91</v>
      </c>
      <c r="I335" t="s">
        <v>21</v>
      </c>
      <c r="J335" t="s">
        <v>60</v>
      </c>
      <c r="K335">
        <v>779.85</v>
      </c>
      <c r="L335">
        <v>5</v>
      </c>
      <c r="M335">
        <v>0</v>
      </c>
      <c r="N335">
        <v>54.27</v>
      </c>
      <c r="O335" t="str">
        <f t="shared" si="5"/>
        <v>Apr-2024</v>
      </c>
    </row>
    <row r="336" spans="1:15" x14ac:dyDescent="0.25">
      <c r="A336" t="s">
        <v>517</v>
      </c>
      <c r="B336" s="2">
        <v>45902</v>
      </c>
      <c r="C336" s="2">
        <v>45907</v>
      </c>
      <c r="D336" t="s">
        <v>155</v>
      </c>
      <c r="E336" t="s">
        <v>80</v>
      </c>
      <c r="F336" t="s">
        <v>18</v>
      </c>
      <c r="G336" t="s">
        <v>81</v>
      </c>
      <c r="H336" t="s">
        <v>82</v>
      </c>
      <c r="I336" t="s">
        <v>40</v>
      </c>
      <c r="J336" t="s">
        <v>109</v>
      </c>
      <c r="K336">
        <v>54.66</v>
      </c>
      <c r="L336">
        <v>3</v>
      </c>
      <c r="M336">
        <v>0</v>
      </c>
      <c r="N336">
        <v>19.07</v>
      </c>
      <c r="O336" t="str">
        <f t="shared" si="5"/>
        <v>Sep-2025</v>
      </c>
    </row>
    <row r="337" spans="1:15" x14ac:dyDescent="0.25">
      <c r="A337" t="s">
        <v>518</v>
      </c>
      <c r="B337" s="2">
        <v>45311</v>
      </c>
      <c r="C337" s="2">
        <v>45313</v>
      </c>
      <c r="D337" t="s">
        <v>291</v>
      </c>
      <c r="E337" t="s">
        <v>25</v>
      </c>
      <c r="F337" t="s">
        <v>33</v>
      </c>
      <c r="G337" t="s">
        <v>141</v>
      </c>
      <c r="H337" t="s">
        <v>142</v>
      </c>
      <c r="I337" t="s">
        <v>29</v>
      </c>
      <c r="J337" t="s">
        <v>87</v>
      </c>
      <c r="K337">
        <v>838.38</v>
      </c>
      <c r="L337">
        <v>3</v>
      </c>
      <c r="M337">
        <v>0</v>
      </c>
      <c r="N337">
        <v>38.090000000000003</v>
      </c>
      <c r="O337" t="str">
        <f t="shared" si="5"/>
        <v>Jan-2024</v>
      </c>
    </row>
    <row r="338" spans="1:15" x14ac:dyDescent="0.25">
      <c r="A338" t="s">
        <v>519</v>
      </c>
      <c r="B338" s="2">
        <v>45553</v>
      </c>
      <c r="C338" s="2">
        <v>45560</v>
      </c>
      <c r="D338" t="s">
        <v>205</v>
      </c>
      <c r="E338" t="s">
        <v>80</v>
      </c>
      <c r="F338" t="s">
        <v>26</v>
      </c>
      <c r="G338" t="s">
        <v>51</v>
      </c>
      <c r="H338" t="s">
        <v>52</v>
      </c>
      <c r="I338" t="s">
        <v>40</v>
      </c>
      <c r="J338" t="s">
        <v>48</v>
      </c>
      <c r="K338">
        <v>18.97</v>
      </c>
      <c r="L338">
        <v>1</v>
      </c>
      <c r="M338">
        <v>0.15</v>
      </c>
      <c r="N338">
        <v>6.61</v>
      </c>
      <c r="O338" t="str">
        <f t="shared" si="5"/>
        <v>Sep-2024</v>
      </c>
    </row>
    <row r="339" spans="1:15" x14ac:dyDescent="0.25">
      <c r="A339" t="s">
        <v>520</v>
      </c>
      <c r="B339" s="2">
        <v>45681</v>
      </c>
      <c r="C339" s="2">
        <v>45682</v>
      </c>
      <c r="D339" t="s">
        <v>328</v>
      </c>
      <c r="E339" t="s">
        <v>25</v>
      </c>
      <c r="F339" t="s">
        <v>18</v>
      </c>
      <c r="G339" t="s">
        <v>19</v>
      </c>
      <c r="H339" t="s">
        <v>20</v>
      </c>
      <c r="I339" t="s">
        <v>29</v>
      </c>
      <c r="J339" t="s">
        <v>55</v>
      </c>
      <c r="K339">
        <v>2333.38</v>
      </c>
      <c r="L339">
        <v>8</v>
      </c>
      <c r="M339">
        <v>0.2</v>
      </c>
      <c r="N339">
        <v>223.86</v>
      </c>
      <c r="O339" t="str">
        <f t="shared" si="5"/>
        <v>Jan-2025</v>
      </c>
    </row>
    <row r="340" spans="1:15" x14ac:dyDescent="0.25">
      <c r="A340" t="s">
        <v>521</v>
      </c>
      <c r="B340" s="2">
        <v>45568</v>
      </c>
      <c r="C340" s="2">
        <v>45573</v>
      </c>
      <c r="D340" t="s">
        <v>249</v>
      </c>
      <c r="E340" t="s">
        <v>80</v>
      </c>
      <c r="F340" t="s">
        <v>18</v>
      </c>
      <c r="G340" t="s">
        <v>81</v>
      </c>
      <c r="H340" t="s">
        <v>82</v>
      </c>
      <c r="I340" t="s">
        <v>40</v>
      </c>
      <c r="J340" t="s">
        <v>48</v>
      </c>
      <c r="K340">
        <v>67.53</v>
      </c>
      <c r="L340">
        <v>3</v>
      </c>
      <c r="M340">
        <v>0.1</v>
      </c>
      <c r="N340">
        <v>20.2</v>
      </c>
      <c r="O340" t="str">
        <f t="shared" si="5"/>
        <v>Oct-2024</v>
      </c>
    </row>
    <row r="341" spans="1:15" x14ac:dyDescent="0.25">
      <c r="A341" t="s">
        <v>522</v>
      </c>
      <c r="B341" s="2">
        <v>45400</v>
      </c>
      <c r="C341" s="2">
        <v>45404</v>
      </c>
      <c r="D341" t="s">
        <v>115</v>
      </c>
      <c r="E341" t="s">
        <v>17</v>
      </c>
      <c r="F341" t="s">
        <v>18</v>
      </c>
      <c r="G341" t="s">
        <v>71</v>
      </c>
      <c r="H341" t="s">
        <v>72</v>
      </c>
      <c r="I341" t="s">
        <v>21</v>
      </c>
      <c r="J341" t="s">
        <v>22</v>
      </c>
      <c r="K341">
        <v>612.78</v>
      </c>
      <c r="L341">
        <v>4</v>
      </c>
      <c r="M341">
        <v>0.3</v>
      </c>
      <c r="N341">
        <v>78.989999999999995</v>
      </c>
      <c r="O341" t="str">
        <f t="shared" si="5"/>
        <v>Apr-2024</v>
      </c>
    </row>
    <row r="342" spans="1:15" x14ac:dyDescent="0.25">
      <c r="A342" t="s">
        <v>523</v>
      </c>
      <c r="B342" s="2">
        <v>45332</v>
      </c>
      <c r="C342" s="2">
        <v>45337</v>
      </c>
      <c r="D342" t="s">
        <v>450</v>
      </c>
      <c r="E342" t="s">
        <v>17</v>
      </c>
      <c r="F342" t="s">
        <v>26</v>
      </c>
      <c r="G342" t="s">
        <v>75</v>
      </c>
      <c r="H342" t="s">
        <v>76</v>
      </c>
      <c r="I342" t="s">
        <v>21</v>
      </c>
      <c r="J342" t="s">
        <v>123</v>
      </c>
      <c r="K342">
        <v>3020.16</v>
      </c>
      <c r="L342">
        <v>4</v>
      </c>
      <c r="M342">
        <v>0.2</v>
      </c>
      <c r="N342">
        <v>215.36</v>
      </c>
      <c r="O342" t="str">
        <f t="shared" si="5"/>
        <v>Feb-2024</v>
      </c>
    </row>
    <row r="343" spans="1:15" x14ac:dyDescent="0.25">
      <c r="A343" t="s">
        <v>524</v>
      </c>
      <c r="B343" s="2">
        <v>45405</v>
      </c>
      <c r="C343" s="2">
        <v>45412</v>
      </c>
      <c r="D343" t="s">
        <v>86</v>
      </c>
      <c r="E343" t="s">
        <v>17</v>
      </c>
      <c r="F343" t="s">
        <v>63</v>
      </c>
      <c r="G343" t="s">
        <v>67</v>
      </c>
      <c r="H343" t="s">
        <v>68</v>
      </c>
      <c r="I343" t="s">
        <v>29</v>
      </c>
      <c r="J343" t="s">
        <v>55</v>
      </c>
      <c r="K343">
        <v>3028.48</v>
      </c>
      <c r="L343">
        <v>8</v>
      </c>
      <c r="M343">
        <v>0</v>
      </c>
      <c r="N343">
        <v>1014.04</v>
      </c>
      <c r="O343" t="str">
        <f t="shared" si="5"/>
        <v>Apr-2024</v>
      </c>
    </row>
    <row r="344" spans="1:15" x14ac:dyDescent="0.25">
      <c r="A344" t="s">
        <v>525</v>
      </c>
      <c r="B344" s="2">
        <v>45562</v>
      </c>
      <c r="C344" s="2">
        <v>45566</v>
      </c>
      <c r="D344" t="s">
        <v>214</v>
      </c>
      <c r="E344" t="s">
        <v>25</v>
      </c>
      <c r="F344" t="s">
        <v>18</v>
      </c>
      <c r="G344" t="s">
        <v>19</v>
      </c>
      <c r="H344" t="s">
        <v>20</v>
      </c>
      <c r="I344" t="s">
        <v>40</v>
      </c>
      <c r="J344" t="s">
        <v>41</v>
      </c>
      <c r="K344">
        <v>6.61</v>
      </c>
      <c r="L344">
        <v>3</v>
      </c>
      <c r="M344">
        <v>0.3</v>
      </c>
      <c r="N344">
        <v>0.41</v>
      </c>
      <c r="O344" t="str">
        <f t="shared" si="5"/>
        <v>Sep-2024</v>
      </c>
    </row>
    <row r="345" spans="1:15" x14ac:dyDescent="0.25">
      <c r="A345" t="s">
        <v>526</v>
      </c>
      <c r="B345" s="2">
        <v>45410</v>
      </c>
      <c r="C345" s="2">
        <v>45411</v>
      </c>
      <c r="D345" t="s">
        <v>175</v>
      </c>
      <c r="E345" t="s">
        <v>80</v>
      </c>
      <c r="F345" t="s">
        <v>63</v>
      </c>
      <c r="G345" t="s">
        <v>112</v>
      </c>
      <c r="H345" t="s">
        <v>113</v>
      </c>
      <c r="I345" t="s">
        <v>21</v>
      </c>
      <c r="J345" t="s">
        <v>60</v>
      </c>
      <c r="K345">
        <v>256.86</v>
      </c>
      <c r="L345">
        <v>1</v>
      </c>
      <c r="M345">
        <v>0</v>
      </c>
      <c r="N345">
        <v>78.5</v>
      </c>
      <c r="O345" t="str">
        <f t="shared" si="5"/>
        <v>Apr-2024</v>
      </c>
    </row>
    <row r="346" spans="1:15" x14ac:dyDescent="0.25">
      <c r="A346" t="s">
        <v>527</v>
      </c>
      <c r="B346" s="2">
        <v>45387</v>
      </c>
      <c r="C346" s="2">
        <v>45390</v>
      </c>
      <c r="D346" t="s">
        <v>314</v>
      </c>
      <c r="E346" t="s">
        <v>25</v>
      </c>
      <c r="F346" t="s">
        <v>26</v>
      </c>
      <c r="G346" t="s">
        <v>75</v>
      </c>
      <c r="H346" t="s">
        <v>76</v>
      </c>
      <c r="I346" t="s">
        <v>40</v>
      </c>
      <c r="J346" t="s">
        <v>109</v>
      </c>
      <c r="K346">
        <v>123.36</v>
      </c>
      <c r="L346">
        <v>3</v>
      </c>
      <c r="M346">
        <v>0</v>
      </c>
      <c r="N346">
        <v>21</v>
      </c>
      <c r="O346" t="str">
        <f t="shared" si="5"/>
        <v>Apr-2024</v>
      </c>
    </row>
    <row r="347" spans="1:15" x14ac:dyDescent="0.25">
      <c r="A347" t="s">
        <v>528</v>
      </c>
      <c r="B347" s="2">
        <v>45956</v>
      </c>
      <c r="C347" s="2">
        <v>45963</v>
      </c>
      <c r="D347" t="s">
        <v>212</v>
      </c>
      <c r="E347" t="s">
        <v>25</v>
      </c>
      <c r="F347" t="s">
        <v>33</v>
      </c>
      <c r="G347" t="s">
        <v>141</v>
      </c>
      <c r="H347" t="s">
        <v>142</v>
      </c>
      <c r="I347" t="s">
        <v>40</v>
      </c>
      <c r="J347" t="s">
        <v>109</v>
      </c>
      <c r="K347">
        <v>24.02</v>
      </c>
      <c r="L347">
        <v>3</v>
      </c>
      <c r="M347">
        <v>0.2</v>
      </c>
      <c r="N347">
        <v>6.44</v>
      </c>
      <c r="O347" t="str">
        <f t="shared" si="5"/>
        <v>Oct-2025</v>
      </c>
    </row>
    <row r="348" spans="1:15" x14ac:dyDescent="0.25">
      <c r="A348" t="s">
        <v>529</v>
      </c>
      <c r="B348" s="2">
        <v>45986</v>
      </c>
      <c r="C348" s="2">
        <v>45990</v>
      </c>
      <c r="D348" t="s">
        <v>467</v>
      </c>
      <c r="E348" t="s">
        <v>80</v>
      </c>
      <c r="F348" t="s">
        <v>26</v>
      </c>
      <c r="G348" t="s">
        <v>51</v>
      </c>
      <c r="H348" t="s">
        <v>52</v>
      </c>
      <c r="I348" t="s">
        <v>40</v>
      </c>
      <c r="J348" t="s">
        <v>176</v>
      </c>
      <c r="K348">
        <v>17.350000000000001</v>
      </c>
      <c r="L348">
        <v>7</v>
      </c>
      <c r="M348">
        <v>0.3</v>
      </c>
      <c r="N348">
        <v>2.73</v>
      </c>
      <c r="O348" t="str">
        <f t="shared" si="5"/>
        <v>Nov-2025</v>
      </c>
    </row>
    <row r="349" spans="1:15" x14ac:dyDescent="0.25">
      <c r="A349" t="s">
        <v>530</v>
      </c>
      <c r="B349" s="2">
        <v>45743</v>
      </c>
      <c r="C349" s="2">
        <v>45744</v>
      </c>
      <c r="D349" t="s">
        <v>225</v>
      </c>
      <c r="E349" t="s">
        <v>25</v>
      </c>
      <c r="F349" t="s">
        <v>18</v>
      </c>
      <c r="G349" t="s">
        <v>46</v>
      </c>
      <c r="H349" t="s">
        <v>47</v>
      </c>
      <c r="I349" t="s">
        <v>40</v>
      </c>
      <c r="J349" t="s">
        <v>109</v>
      </c>
      <c r="K349">
        <v>30.24</v>
      </c>
      <c r="L349">
        <v>6</v>
      </c>
      <c r="M349">
        <v>0</v>
      </c>
      <c r="N349">
        <v>7.9</v>
      </c>
      <c r="O349" t="str">
        <f t="shared" si="5"/>
        <v>Mar-2025</v>
      </c>
    </row>
    <row r="350" spans="1:15" x14ac:dyDescent="0.25">
      <c r="A350" t="s">
        <v>531</v>
      </c>
      <c r="B350" s="2">
        <v>45546</v>
      </c>
      <c r="C350" s="2">
        <v>45550</v>
      </c>
      <c r="D350" t="s">
        <v>442</v>
      </c>
      <c r="E350" t="s">
        <v>80</v>
      </c>
      <c r="F350" t="s">
        <v>26</v>
      </c>
      <c r="G350" t="s">
        <v>75</v>
      </c>
      <c r="H350" t="s">
        <v>76</v>
      </c>
      <c r="I350" t="s">
        <v>21</v>
      </c>
      <c r="J350" t="s">
        <v>22</v>
      </c>
      <c r="K350">
        <v>2407.23</v>
      </c>
      <c r="L350">
        <v>7</v>
      </c>
      <c r="M350">
        <v>0</v>
      </c>
      <c r="N350">
        <v>726.29</v>
      </c>
      <c r="O350" t="str">
        <f t="shared" si="5"/>
        <v>Sep-2024</v>
      </c>
    </row>
    <row r="351" spans="1:15" x14ac:dyDescent="0.25">
      <c r="A351" t="s">
        <v>532</v>
      </c>
      <c r="B351" s="2">
        <v>45799</v>
      </c>
      <c r="C351" s="2">
        <v>45806</v>
      </c>
      <c r="D351" t="s">
        <v>74</v>
      </c>
      <c r="E351" t="s">
        <v>25</v>
      </c>
      <c r="F351" t="s">
        <v>18</v>
      </c>
      <c r="G351" t="s">
        <v>19</v>
      </c>
      <c r="H351" t="s">
        <v>20</v>
      </c>
      <c r="I351" t="s">
        <v>21</v>
      </c>
      <c r="J351" t="s">
        <v>103</v>
      </c>
      <c r="K351">
        <v>5311.12</v>
      </c>
      <c r="L351">
        <v>8</v>
      </c>
      <c r="M351">
        <v>0</v>
      </c>
      <c r="N351">
        <v>649.38</v>
      </c>
      <c r="O351" t="str">
        <f t="shared" si="5"/>
        <v>May-2025</v>
      </c>
    </row>
    <row r="352" spans="1:15" x14ac:dyDescent="0.25">
      <c r="A352" t="s">
        <v>533</v>
      </c>
      <c r="B352" s="2">
        <v>45679</v>
      </c>
      <c r="C352" s="2">
        <v>45683</v>
      </c>
      <c r="D352" t="s">
        <v>304</v>
      </c>
      <c r="E352" t="s">
        <v>80</v>
      </c>
      <c r="F352" t="s">
        <v>63</v>
      </c>
      <c r="G352" t="s">
        <v>149</v>
      </c>
      <c r="H352" t="s">
        <v>150</v>
      </c>
      <c r="I352" t="s">
        <v>21</v>
      </c>
      <c r="J352" t="s">
        <v>103</v>
      </c>
      <c r="K352">
        <v>3775.73</v>
      </c>
      <c r="L352">
        <v>2</v>
      </c>
      <c r="M352">
        <v>0.1</v>
      </c>
      <c r="N352">
        <v>691.93</v>
      </c>
      <c r="O352" t="str">
        <f t="shared" si="5"/>
        <v>Jan-2025</v>
      </c>
    </row>
    <row r="353" spans="1:15" x14ac:dyDescent="0.25">
      <c r="A353" t="s">
        <v>534</v>
      </c>
      <c r="B353" s="2">
        <v>45801</v>
      </c>
      <c r="C353" s="2">
        <v>45807</v>
      </c>
      <c r="D353" t="s">
        <v>200</v>
      </c>
      <c r="E353" t="s">
        <v>17</v>
      </c>
      <c r="F353" t="s">
        <v>33</v>
      </c>
      <c r="G353" t="s">
        <v>34</v>
      </c>
      <c r="H353" t="s">
        <v>35</v>
      </c>
      <c r="I353" t="s">
        <v>40</v>
      </c>
      <c r="J353" t="s">
        <v>109</v>
      </c>
      <c r="K353">
        <v>60.05</v>
      </c>
      <c r="L353">
        <v>2</v>
      </c>
      <c r="M353">
        <v>0.1</v>
      </c>
      <c r="N353">
        <v>10.43</v>
      </c>
      <c r="O353" t="str">
        <f t="shared" si="5"/>
        <v>May-2025</v>
      </c>
    </row>
    <row r="354" spans="1:15" x14ac:dyDescent="0.25">
      <c r="A354" t="s">
        <v>535</v>
      </c>
      <c r="B354" s="2">
        <v>45503</v>
      </c>
      <c r="C354" s="2">
        <v>45509</v>
      </c>
      <c r="D354" t="s">
        <v>189</v>
      </c>
      <c r="E354" t="s">
        <v>80</v>
      </c>
      <c r="F354" t="s">
        <v>18</v>
      </c>
      <c r="G354" t="s">
        <v>19</v>
      </c>
      <c r="H354" t="s">
        <v>20</v>
      </c>
      <c r="I354" t="s">
        <v>21</v>
      </c>
      <c r="J354" t="s">
        <v>60</v>
      </c>
      <c r="K354">
        <v>1228.3800000000001</v>
      </c>
      <c r="L354">
        <v>6</v>
      </c>
      <c r="M354">
        <v>0</v>
      </c>
      <c r="N354">
        <v>365.56</v>
      </c>
      <c r="O354" t="str">
        <f t="shared" si="5"/>
        <v>Jul-2024</v>
      </c>
    </row>
    <row r="355" spans="1:15" x14ac:dyDescent="0.25">
      <c r="A355" t="s">
        <v>536</v>
      </c>
      <c r="B355" s="2">
        <v>45906</v>
      </c>
      <c r="C355" s="2">
        <v>45910</v>
      </c>
      <c r="D355" t="s">
        <v>146</v>
      </c>
      <c r="E355" t="s">
        <v>80</v>
      </c>
      <c r="F355" t="s">
        <v>26</v>
      </c>
      <c r="G355" t="s">
        <v>96</v>
      </c>
      <c r="H355" t="s">
        <v>97</v>
      </c>
      <c r="I355" t="s">
        <v>40</v>
      </c>
      <c r="J355" t="s">
        <v>176</v>
      </c>
      <c r="K355">
        <v>52.94</v>
      </c>
      <c r="L355">
        <v>6</v>
      </c>
      <c r="M355">
        <v>0.2</v>
      </c>
      <c r="N355">
        <v>9.83</v>
      </c>
      <c r="O355" t="str">
        <f t="shared" si="5"/>
        <v>Sep-2025</v>
      </c>
    </row>
    <row r="356" spans="1:15" x14ac:dyDescent="0.25">
      <c r="A356" t="s">
        <v>537</v>
      </c>
      <c r="B356" s="2">
        <v>45590</v>
      </c>
      <c r="C356" s="2">
        <v>45595</v>
      </c>
      <c r="D356" t="s">
        <v>158</v>
      </c>
      <c r="E356" t="s">
        <v>80</v>
      </c>
      <c r="F356" t="s">
        <v>18</v>
      </c>
      <c r="G356" t="s">
        <v>46</v>
      </c>
      <c r="H356" t="s">
        <v>47</v>
      </c>
      <c r="I356" t="s">
        <v>29</v>
      </c>
      <c r="J356" t="s">
        <v>77</v>
      </c>
      <c r="K356">
        <v>608.02</v>
      </c>
      <c r="L356">
        <v>2</v>
      </c>
      <c r="M356">
        <v>0</v>
      </c>
      <c r="N356">
        <v>40.49</v>
      </c>
      <c r="O356" t="str">
        <f t="shared" si="5"/>
        <v>Oct-2024</v>
      </c>
    </row>
    <row r="357" spans="1:15" x14ac:dyDescent="0.25">
      <c r="A357" t="s">
        <v>538</v>
      </c>
      <c r="B357" s="2">
        <v>45917</v>
      </c>
      <c r="C357" s="2">
        <v>45919</v>
      </c>
      <c r="D357" t="s">
        <v>393</v>
      </c>
      <c r="E357" t="s">
        <v>25</v>
      </c>
      <c r="F357" t="s">
        <v>33</v>
      </c>
      <c r="G357" t="s">
        <v>38</v>
      </c>
      <c r="H357" t="s">
        <v>39</v>
      </c>
      <c r="I357" t="s">
        <v>21</v>
      </c>
      <c r="J357" t="s">
        <v>123</v>
      </c>
      <c r="K357">
        <v>2931.74</v>
      </c>
      <c r="L357">
        <v>7</v>
      </c>
      <c r="M357">
        <v>0</v>
      </c>
      <c r="N357">
        <v>27.61</v>
      </c>
      <c r="O357" t="str">
        <f t="shared" si="5"/>
        <v>Sep-2025</v>
      </c>
    </row>
    <row r="358" spans="1:15" x14ac:dyDescent="0.25">
      <c r="A358" t="s">
        <v>539</v>
      </c>
      <c r="B358" s="2">
        <v>45980</v>
      </c>
      <c r="C358" s="2">
        <v>45985</v>
      </c>
      <c r="D358" t="s">
        <v>373</v>
      </c>
      <c r="E358" t="s">
        <v>80</v>
      </c>
      <c r="F358" t="s">
        <v>26</v>
      </c>
      <c r="G358" t="s">
        <v>75</v>
      </c>
      <c r="H358" t="s">
        <v>76</v>
      </c>
      <c r="I358" t="s">
        <v>29</v>
      </c>
      <c r="J358" t="s">
        <v>30</v>
      </c>
      <c r="K358">
        <v>196.2</v>
      </c>
      <c r="L358">
        <v>8</v>
      </c>
      <c r="M358">
        <v>0.1</v>
      </c>
      <c r="N358">
        <v>48.57</v>
      </c>
      <c r="O358" t="str">
        <f t="shared" si="5"/>
        <v>Nov-2025</v>
      </c>
    </row>
    <row r="359" spans="1:15" x14ac:dyDescent="0.25">
      <c r="A359" t="s">
        <v>540</v>
      </c>
      <c r="B359" s="2">
        <v>45891</v>
      </c>
      <c r="C359" s="2">
        <v>45895</v>
      </c>
      <c r="D359" t="s">
        <v>304</v>
      </c>
      <c r="E359" t="s">
        <v>25</v>
      </c>
      <c r="F359" t="s">
        <v>26</v>
      </c>
      <c r="G359" t="s">
        <v>96</v>
      </c>
      <c r="H359" t="s">
        <v>97</v>
      </c>
      <c r="I359" t="s">
        <v>29</v>
      </c>
      <c r="J359" t="s">
        <v>55</v>
      </c>
      <c r="K359">
        <v>1345.61</v>
      </c>
      <c r="L359">
        <v>3</v>
      </c>
      <c r="M359">
        <v>0.2</v>
      </c>
      <c r="N359">
        <v>300.83</v>
      </c>
      <c r="O359" t="str">
        <f t="shared" si="5"/>
        <v>Aug-2025</v>
      </c>
    </row>
    <row r="360" spans="1:15" x14ac:dyDescent="0.25">
      <c r="A360" t="s">
        <v>541</v>
      </c>
      <c r="B360" s="2">
        <v>45808</v>
      </c>
      <c r="C360" s="2">
        <v>45812</v>
      </c>
      <c r="D360" t="s">
        <v>237</v>
      </c>
      <c r="E360" t="s">
        <v>25</v>
      </c>
      <c r="F360" t="s">
        <v>26</v>
      </c>
      <c r="G360" t="s">
        <v>51</v>
      </c>
      <c r="H360" t="s">
        <v>52</v>
      </c>
      <c r="I360" t="s">
        <v>40</v>
      </c>
      <c r="J360" t="s">
        <v>176</v>
      </c>
      <c r="K360">
        <v>27.44</v>
      </c>
      <c r="L360">
        <v>4</v>
      </c>
      <c r="M360">
        <v>0</v>
      </c>
      <c r="N360">
        <v>4.6500000000000004</v>
      </c>
      <c r="O360" t="str">
        <f t="shared" si="5"/>
        <v>May-2025</v>
      </c>
    </row>
    <row r="361" spans="1:15" x14ac:dyDescent="0.25">
      <c r="A361" t="s">
        <v>542</v>
      </c>
      <c r="B361" s="2">
        <v>45908</v>
      </c>
      <c r="C361" s="2">
        <v>45914</v>
      </c>
      <c r="D361" t="s">
        <v>70</v>
      </c>
      <c r="E361" t="s">
        <v>25</v>
      </c>
      <c r="F361" t="s">
        <v>63</v>
      </c>
      <c r="G361" t="s">
        <v>112</v>
      </c>
      <c r="H361" t="s">
        <v>113</v>
      </c>
      <c r="I361" t="s">
        <v>40</v>
      </c>
      <c r="J361" t="s">
        <v>41</v>
      </c>
      <c r="K361">
        <v>78.36</v>
      </c>
      <c r="L361">
        <v>5</v>
      </c>
      <c r="M361">
        <v>0.3</v>
      </c>
      <c r="N361">
        <v>20.41</v>
      </c>
      <c r="O361" t="str">
        <f t="shared" si="5"/>
        <v>Sep-2025</v>
      </c>
    </row>
    <row r="362" spans="1:15" x14ac:dyDescent="0.25">
      <c r="A362" t="s">
        <v>543</v>
      </c>
      <c r="B362" s="2">
        <v>45931</v>
      </c>
      <c r="C362" s="2">
        <v>45937</v>
      </c>
      <c r="D362" t="s">
        <v>544</v>
      </c>
      <c r="E362" t="s">
        <v>17</v>
      </c>
      <c r="F362" t="s">
        <v>63</v>
      </c>
      <c r="G362" t="s">
        <v>106</v>
      </c>
      <c r="H362" t="s">
        <v>107</v>
      </c>
      <c r="I362" t="s">
        <v>21</v>
      </c>
      <c r="J362" t="s">
        <v>103</v>
      </c>
      <c r="K362">
        <v>4508.5</v>
      </c>
      <c r="L362">
        <v>6</v>
      </c>
      <c r="M362">
        <v>0.2</v>
      </c>
      <c r="N362">
        <v>404.87</v>
      </c>
      <c r="O362" t="str">
        <f t="shared" si="5"/>
        <v>Oct-2025</v>
      </c>
    </row>
    <row r="363" spans="1:15" x14ac:dyDescent="0.25">
      <c r="A363" t="s">
        <v>545</v>
      </c>
      <c r="B363" s="2">
        <v>45652</v>
      </c>
      <c r="C363" s="2">
        <v>45657</v>
      </c>
      <c r="D363" t="s">
        <v>192</v>
      </c>
      <c r="E363" t="s">
        <v>17</v>
      </c>
      <c r="F363" t="s">
        <v>26</v>
      </c>
      <c r="G363" t="s">
        <v>27</v>
      </c>
      <c r="H363" t="s">
        <v>28</v>
      </c>
      <c r="I363" t="s">
        <v>21</v>
      </c>
      <c r="J363" t="s">
        <v>60</v>
      </c>
      <c r="K363">
        <v>836.14</v>
      </c>
      <c r="L363">
        <v>7</v>
      </c>
      <c r="M363">
        <v>0.2</v>
      </c>
      <c r="N363">
        <v>229.4</v>
      </c>
      <c r="O363" t="str">
        <f t="shared" si="5"/>
        <v>Dec-2024</v>
      </c>
    </row>
    <row r="364" spans="1:15" x14ac:dyDescent="0.25">
      <c r="A364" t="s">
        <v>546</v>
      </c>
      <c r="B364" s="2">
        <v>45440</v>
      </c>
      <c r="C364" s="2">
        <v>45441</v>
      </c>
      <c r="D364" t="s">
        <v>89</v>
      </c>
      <c r="E364" t="s">
        <v>25</v>
      </c>
      <c r="F364" t="s">
        <v>63</v>
      </c>
      <c r="G364" t="s">
        <v>64</v>
      </c>
      <c r="H364" t="s">
        <v>65</v>
      </c>
      <c r="I364" t="s">
        <v>29</v>
      </c>
      <c r="J364" t="s">
        <v>55</v>
      </c>
      <c r="K364">
        <v>1714.12</v>
      </c>
      <c r="L364">
        <v>4</v>
      </c>
      <c r="M364">
        <v>0</v>
      </c>
      <c r="N364">
        <v>471.48</v>
      </c>
      <c r="O364" t="str">
        <f t="shared" si="5"/>
        <v>May-2024</v>
      </c>
    </row>
    <row r="365" spans="1:15" x14ac:dyDescent="0.25">
      <c r="A365" t="s">
        <v>547</v>
      </c>
      <c r="B365" s="2">
        <v>45999</v>
      </c>
      <c r="C365" s="2">
        <v>46006</v>
      </c>
      <c r="D365" t="s">
        <v>117</v>
      </c>
      <c r="E365" t="s">
        <v>17</v>
      </c>
      <c r="F365" t="s">
        <v>26</v>
      </c>
      <c r="G365" t="s">
        <v>75</v>
      </c>
      <c r="H365" t="s">
        <v>76</v>
      </c>
      <c r="I365" t="s">
        <v>21</v>
      </c>
      <c r="J365" t="s">
        <v>60</v>
      </c>
      <c r="K365">
        <v>95.59</v>
      </c>
      <c r="L365">
        <v>1</v>
      </c>
      <c r="M365">
        <v>0</v>
      </c>
      <c r="N365">
        <v>28.12</v>
      </c>
      <c r="O365" t="str">
        <f t="shared" si="5"/>
        <v>Dec-2025</v>
      </c>
    </row>
    <row r="366" spans="1:15" x14ac:dyDescent="0.25">
      <c r="A366" t="s">
        <v>548</v>
      </c>
      <c r="B366" s="2">
        <v>45866</v>
      </c>
      <c r="C366" s="2">
        <v>45870</v>
      </c>
      <c r="D366" t="s">
        <v>50</v>
      </c>
      <c r="E366" t="s">
        <v>80</v>
      </c>
      <c r="F366" t="s">
        <v>18</v>
      </c>
      <c r="G366" t="s">
        <v>71</v>
      </c>
      <c r="H366" t="s">
        <v>72</v>
      </c>
      <c r="I366" t="s">
        <v>21</v>
      </c>
      <c r="J366" t="s">
        <v>103</v>
      </c>
      <c r="K366">
        <v>3290.84</v>
      </c>
      <c r="L366">
        <v>5</v>
      </c>
      <c r="M366">
        <v>0.2</v>
      </c>
      <c r="N366">
        <v>820.56</v>
      </c>
      <c r="O366" t="str">
        <f t="shared" si="5"/>
        <v>Jul-2025</v>
      </c>
    </row>
    <row r="367" spans="1:15" x14ac:dyDescent="0.25">
      <c r="A367" t="s">
        <v>549</v>
      </c>
      <c r="B367" s="2">
        <v>45305</v>
      </c>
      <c r="C367" s="2">
        <v>45311</v>
      </c>
      <c r="D367" t="s">
        <v>304</v>
      </c>
      <c r="E367" t="s">
        <v>17</v>
      </c>
      <c r="F367" t="s">
        <v>33</v>
      </c>
      <c r="G367" t="s">
        <v>131</v>
      </c>
      <c r="H367" t="s">
        <v>132</v>
      </c>
      <c r="I367" t="s">
        <v>40</v>
      </c>
      <c r="J367" t="s">
        <v>98</v>
      </c>
      <c r="K367">
        <v>323.39999999999998</v>
      </c>
      <c r="L367">
        <v>8</v>
      </c>
      <c r="M367">
        <v>0.3</v>
      </c>
      <c r="N367">
        <v>38.049999999999997</v>
      </c>
      <c r="O367" t="str">
        <f t="shared" si="5"/>
        <v>Jan-2024</v>
      </c>
    </row>
    <row r="368" spans="1:15" x14ac:dyDescent="0.25">
      <c r="A368" t="s">
        <v>550</v>
      </c>
      <c r="B368" s="2">
        <v>45490</v>
      </c>
      <c r="C368" s="2">
        <v>45493</v>
      </c>
      <c r="D368" t="s">
        <v>259</v>
      </c>
      <c r="E368" t="s">
        <v>80</v>
      </c>
      <c r="F368" t="s">
        <v>63</v>
      </c>
      <c r="G368" t="s">
        <v>106</v>
      </c>
      <c r="H368" t="s">
        <v>107</v>
      </c>
      <c r="I368" t="s">
        <v>21</v>
      </c>
      <c r="J368" t="s">
        <v>103</v>
      </c>
      <c r="K368">
        <v>2574.7800000000002</v>
      </c>
      <c r="L368">
        <v>2</v>
      </c>
      <c r="M368">
        <v>0</v>
      </c>
      <c r="N368">
        <v>872.19</v>
      </c>
      <c r="O368" t="str">
        <f t="shared" si="5"/>
        <v>Jul-2024</v>
      </c>
    </row>
    <row r="369" spans="1:15" x14ac:dyDescent="0.25">
      <c r="A369" t="s">
        <v>551</v>
      </c>
      <c r="B369" s="2">
        <v>45562</v>
      </c>
      <c r="C369" s="2">
        <v>45564</v>
      </c>
      <c r="D369" t="s">
        <v>37</v>
      </c>
      <c r="E369" t="s">
        <v>80</v>
      </c>
      <c r="F369" t="s">
        <v>18</v>
      </c>
      <c r="G369" t="s">
        <v>58</v>
      </c>
      <c r="H369" t="s">
        <v>59</v>
      </c>
      <c r="I369" t="s">
        <v>29</v>
      </c>
      <c r="J369" t="s">
        <v>30</v>
      </c>
      <c r="K369">
        <v>162.65</v>
      </c>
      <c r="L369">
        <v>5</v>
      </c>
      <c r="M369">
        <v>0</v>
      </c>
      <c r="N369">
        <v>24.26</v>
      </c>
      <c r="O369" t="str">
        <f t="shared" si="5"/>
        <v>Sep-2024</v>
      </c>
    </row>
    <row r="370" spans="1:15" x14ac:dyDescent="0.25">
      <c r="A370" t="s">
        <v>552</v>
      </c>
      <c r="B370" s="2">
        <v>45932</v>
      </c>
      <c r="C370" s="2">
        <v>45937</v>
      </c>
      <c r="D370" t="s">
        <v>321</v>
      </c>
      <c r="E370" t="s">
        <v>17</v>
      </c>
      <c r="F370" t="s">
        <v>26</v>
      </c>
      <c r="G370" t="s">
        <v>51</v>
      </c>
      <c r="H370" t="s">
        <v>52</v>
      </c>
      <c r="I370" t="s">
        <v>29</v>
      </c>
      <c r="J370" t="s">
        <v>77</v>
      </c>
      <c r="K370">
        <v>1960.6</v>
      </c>
      <c r="L370">
        <v>5</v>
      </c>
      <c r="M370">
        <v>0.1</v>
      </c>
      <c r="N370">
        <v>103.3</v>
      </c>
      <c r="O370" t="str">
        <f t="shared" si="5"/>
        <v>Oct-2025</v>
      </c>
    </row>
    <row r="371" spans="1:15" x14ac:dyDescent="0.25">
      <c r="A371" t="s">
        <v>553</v>
      </c>
      <c r="B371" s="2">
        <v>45480</v>
      </c>
      <c r="C371" s="2">
        <v>45485</v>
      </c>
      <c r="D371" t="s">
        <v>219</v>
      </c>
      <c r="E371" t="s">
        <v>17</v>
      </c>
      <c r="F371" t="s">
        <v>63</v>
      </c>
      <c r="G371" t="s">
        <v>149</v>
      </c>
      <c r="H371" t="s">
        <v>150</v>
      </c>
      <c r="I371" t="s">
        <v>21</v>
      </c>
      <c r="J371" t="s">
        <v>60</v>
      </c>
      <c r="K371">
        <v>80.38</v>
      </c>
      <c r="L371">
        <v>3</v>
      </c>
      <c r="M371">
        <v>0.1</v>
      </c>
      <c r="N371">
        <v>17.11</v>
      </c>
      <c r="O371" t="str">
        <f t="shared" si="5"/>
        <v>Jul-2024</v>
      </c>
    </row>
    <row r="372" spans="1:15" x14ac:dyDescent="0.25">
      <c r="A372" t="s">
        <v>554</v>
      </c>
      <c r="B372" s="2">
        <v>45631</v>
      </c>
      <c r="C372" s="2">
        <v>45634</v>
      </c>
      <c r="D372" t="s">
        <v>252</v>
      </c>
      <c r="E372" t="s">
        <v>80</v>
      </c>
      <c r="F372" t="s">
        <v>33</v>
      </c>
      <c r="G372" t="s">
        <v>34</v>
      </c>
      <c r="H372" t="s">
        <v>35</v>
      </c>
      <c r="I372" t="s">
        <v>40</v>
      </c>
      <c r="J372" t="s">
        <v>41</v>
      </c>
      <c r="K372">
        <v>28.84</v>
      </c>
      <c r="L372">
        <v>4</v>
      </c>
      <c r="M372">
        <v>0.3</v>
      </c>
      <c r="N372">
        <v>6.79</v>
      </c>
      <c r="O372" t="str">
        <f t="shared" si="5"/>
        <v>Dec-2024</v>
      </c>
    </row>
    <row r="373" spans="1:15" x14ac:dyDescent="0.25">
      <c r="A373" t="s">
        <v>555</v>
      </c>
      <c r="B373" s="2">
        <v>45646</v>
      </c>
      <c r="C373" s="2">
        <v>45650</v>
      </c>
      <c r="D373" t="s">
        <v>225</v>
      </c>
      <c r="E373" t="s">
        <v>80</v>
      </c>
      <c r="F373" t="s">
        <v>33</v>
      </c>
      <c r="G373" t="s">
        <v>165</v>
      </c>
      <c r="H373" t="s">
        <v>166</v>
      </c>
      <c r="I373" t="s">
        <v>21</v>
      </c>
      <c r="J373" t="s">
        <v>22</v>
      </c>
      <c r="K373">
        <v>1017.2</v>
      </c>
      <c r="L373">
        <v>4</v>
      </c>
      <c r="M373">
        <v>0</v>
      </c>
      <c r="N373">
        <v>259.14999999999998</v>
      </c>
      <c r="O373" t="str">
        <f t="shared" si="5"/>
        <v>Dec-2024</v>
      </c>
    </row>
    <row r="374" spans="1:15" x14ac:dyDescent="0.25">
      <c r="A374" t="s">
        <v>556</v>
      </c>
      <c r="B374" s="2">
        <v>45581</v>
      </c>
      <c r="C374" s="2">
        <v>45582</v>
      </c>
      <c r="D374" t="s">
        <v>102</v>
      </c>
      <c r="E374" t="s">
        <v>80</v>
      </c>
      <c r="F374" t="s">
        <v>63</v>
      </c>
      <c r="G374" t="s">
        <v>64</v>
      </c>
      <c r="H374" t="s">
        <v>65</v>
      </c>
      <c r="I374" t="s">
        <v>29</v>
      </c>
      <c r="J374" t="s">
        <v>30</v>
      </c>
      <c r="K374">
        <v>701.71</v>
      </c>
      <c r="L374">
        <v>6</v>
      </c>
      <c r="M374">
        <v>0.15</v>
      </c>
      <c r="N374">
        <v>204.09</v>
      </c>
      <c r="O374" t="str">
        <f t="shared" si="5"/>
        <v>Oct-2024</v>
      </c>
    </row>
    <row r="375" spans="1:15" x14ac:dyDescent="0.25">
      <c r="A375" t="s">
        <v>557</v>
      </c>
      <c r="B375" s="2">
        <v>45620</v>
      </c>
      <c r="C375" s="2">
        <v>45625</v>
      </c>
      <c r="D375" t="s">
        <v>294</v>
      </c>
      <c r="E375" t="s">
        <v>17</v>
      </c>
      <c r="F375" t="s">
        <v>33</v>
      </c>
      <c r="G375" t="s">
        <v>131</v>
      </c>
      <c r="H375" t="s">
        <v>132</v>
      </c>
      <c r="I375" t="s">
        <v>29</v>
      </c>
      <c r="J375" t="s">
        <v>77</v>
      </c>
      <c r="K375">
        <v>247.52</v>
      </c>
      <c r="L375">
        <v>2</v>
      </c>
      <c r="M375">
        <v>0</v>
      </c>
      <c r="N375">
        <v>18.89</v>
      </c>
      <c r="O375" t="str">
        <f t="shared" si="5"/>
        <v>Nov-2024</v>
      </c>
    </row>
    <row r="376" spans="1:15" x14ac:dyDescent="0.25">
      <c r="A376" t="s">
        <v>558</v>
      </c>
      <c r="B376" s="2">
        <v>45398</v>
      </c>
      <c r="C376" s="2">
        <v>45400</v>
      </c>
      <c r="D376" t="s">
        <v>152</v>
      </c>
      <c r="E376" t="s">
        <v>25</v>
      </c>
      <c r="F376" t="s">
        <v>18</v>
      </c>
      <c r="G376" t="s">
        <v>19</v>
      </c>
      <c r="H376" t="s">
        <v>20</v>
      </c>
      <c r="I376" t="s">
        <v>29</v>
      </c>
      <c r="J376" t="s">
        <v>87</v>
      </c>
      <c r="K376">
        <v>2969.12</v>
      </c>
      <c r="L376">
        <v>7</v>
      </c>
      <c r="M376">
        <v>0.2</v>
      </c>
      <c r="N376">
        <v>166.8</v>
      </c>
      <c r="O376" t="str">
        <f t="shared" si="5"/>
        <v>Apr-2024</v>
      </c>
    </row>
    <row r="377" spans="1:15" x14ac:dyDescent="0.25">
      <c r="A377" t="s">
        <v>559</v>
      </c>
      <c r="B377" s="2">
        <v>45330</v>
      </c>
      <c r="C377" s="2">
        <v>45331</v>
      </c>
      <c r="D377" t="s">
        <v>352</v>
      </c>
      <c r="E377" t="s">
        <v>25</v>
      </c>
      <c r="F377" t="s">
        <v>18</v>
      </c>
      <c r="G377" t="s">
        <v>46</v>
      </c>
      <c r="H377" t="s">
        <v>47</v>
      </c>
      <c r="I377" t="s">
        <v>29</v>
      </c>
      <c r="J377" t="s">
        <v>30</v>
      </c>
      <c r="K377">
        <v>42.52</v>
      </c>
      <c r="L377">
        <v>3</v>
      </c>
      <c r="M377">
        <v>0.3</v>
      </c>
      <c r="N377">
        <v>5.34</v>
      </c>
      <c r="O377" t="str">
        <f t="shared" si="5"/>
        <v>Feb-2024</v>
      </c>
    </row>
    <row r="378" spans="1:15" x14ac:dyDescent="0.25">
      <c r="A378" t="s">
        <v>560</v>
      </c>
      <c r="B378" s="2">
        <v>45753</v>
      </c>
      <c r="C378" s="2">
        <v>45759</v>
      </c>
      <c r="D378" t="s">
        <v>203</v>
      </c>
      <c r="E378" t="s">
        <v>25</v>
      </c>
      <c r="F378" t="s">
        <v>18</v>
      </c>
      <c r="G378" t="s">
        <v>71</v>
      </c>
      <c r="H378" t="s">
        <v>72</v>
      </c>
      <c r="I378" t="s">
        <v>29</v>
      </c>
      <c r="J378" t="s">
        <v>77</v>
      </c>
      <c r="K378">
        <v>1534.92</v>
      </c>
      <c r="L378">
        <v>6</v>
      </c>
      <c r="M378">
        <v>0</v>
      </c>
      <c r="N378">
        <v>0.98</v>
      </c>
      <c r="O378" t="str">
        <f t="shared" si="5"/>
        <v>Apr-2025</v>
      </c>
    </row>
    <row r="379" spans="1:15" x14ac:dyDescent="0.25">
      <c r="A379" t="s">
        <v>561</v>
      </c>
      <c r="B379" s="2">
        <v>45891</v>
      </c>
      <c r="C379" s="2">
        <v>45892</v>
      </c>
      <c r="D379" t="s">
        <v>362</v>
      </c>
      <c r="E379" t="s">
        <v>80</v>
      </c>
      <c r="F379" t="s">
        <v>18</v>
      </c>
      <c r="G379" t="s">
        <v>71</v>
      </c>
      <c r="H379" t="s">
        <v>72</v>
      </c>
      <c r="I379" t="s">
        <v>29</v>
      </c>
      <c r="J379" t="s">
        <v>55</v>
      </c>
      <c r="K379">
        <v>888.92</v>
      </c>
      <c r="L379">
        <v>2</v>
      </c>
      <c r="M379">
        <v>0</v>
      </c>
      <c r="N379">
        <v>291.93</v>
      </c>
      <c r="O379" t="str">
        <f t="shared" si="5"/>
        <v>Aug-2025</v>
      </c>
    </row>
    <row r="380" spans="1:15" x14ac:dyDescent="0.25">
      <c r="A380" t="s">
        <v>562</v>
      </c>
      <c r="B380" s="2">
        <v>45580</v>
      </c>
      <c r="C380" s="2">
        <v>45587</v>
      </c>
      <c r="D380" t="s">
        <v>237</v>
      </c>
      <c r="E380" t="s">
        <v>17</v>
      </c>
      <c r="F380" t="s">
        <v>18</v>
      </c>
      <c r="G380" t="s">
        <v>81</v>
      </c>
      <c r="H380" t="s">
        <v>82</v>
      </c>
      <c r="I380" t="s">
        <v>21</v>
      </c>
      <c r="J380" t="s">
        <v>60</v>
      </c>
      <c r="K380">
        <v>1756.06</v>
      </c>
      <c r="L380">
        <v>7</v>
      </c>
      <c r="M380">
        <v>0.1</v>
      </c>
      <c r="N380">
        <v>520.91</v>
      </c>
      <c r="O380" t="str">
        <f t="shared" si="5"/>
        <v>Oct-2024</v>
      </c>
    </row>
    <row r="381" spans="1:15" x14ac:dyDescent="0.25">
      <c r="A381" t="s">
        <v>563</v>
      </c>
      <c r="B381" s="2">
        <v>45692</v>
      </c>
      <c r="C381" s="2">
        <v>45699</v>
      </c>
      <c r="D381" t="s">
        <v>70</v>
      </c>
      <c r="E381" t="s">
        <v>80</v>
      </c>
      <c r="F381" t="s">
        <v>18</v>
      </c>
      <c r="G381" t="s">
        <v>58</v>
      </c>
      <c r="H381" t="s">
        <v>59</v>
      </c>
      <c r="I381" t="s">
        <v>29</v>
      </c>
      <c r="J381" t="s">
        <v>87</v>
      </c>
      <c r="K381">
        <v>2951.96</v>
      </c>
      <c r="L381">
        <v>5</v>
      </c>
      <c r="M381">
        <v>0.2</v>
      </c>
      <c r="N381">
        <v>-92.31</v>
      </c>
      <c r="O381" t="str">
        <f t="shared" si="5"/>
        <v>Feb-2025</v>
      </c>
    </row>
    <row r="382" spans="1:15" x14ac:dyDescent="0.25">
      <c r="A382" t="s">
        <v>564</v>
      </c>
      <c r="B382" s="2">
        <v>45297</v>
      </c>
      <c r="C382" s="2">
        <v>45302</v>
      </c>
      <c r="D382" t="s">
        <v>565</v>
      </c>
      <c r="E382" t="s">
        <v>17</v>
      </c>
      <c r="F382" t="s">
        <v>63</v>
      </c>
      <c r="G382" t="s">
        <v>149</v>
      </c>
      <c r="H382" t="s">
        <v>150</v>
      </c>
      <c r="I382" t="s">
        <v>21</v>
      </c>
      <c r="J382" t="s">
        <v>103</v>
      </c>
      <c r="K382">
        <v>3225.28</v>
      </c>
      <c r="L382">
        <v>2</v>
      </c>
      <c r="M382">
        <v>0</v>
      </c>
      <c r="N382">
        <v>364.51</v>
      </c>
      <c r="O382" t="str">
        <f t="shared" si="5"/>
        <v>Jan-2024</v>
      </c>
    </row>
    <row r="383" spans="1:15" x14ac:dyDescent="0.25">
      <c r="A383" t="s">
        <v>566</v>
      </c>
      <c r="B383" s="2">
        <v>45480</v>
      </c>
      <c r="C383" s="2">
        <v>45482</v>
      </c>
      <c r="D383" t="s">
        <v>117</v>
      </c>
      <c r="E383" t="s">
        <v>17</v>
      </c>
      <c r="F383" t="s">
        <v>63</v>
      </c>
      <c r="G383" t="s">
        <v>67</v>
      </c>
      <c r="H383" t="s">
        <v>68</v>
      </c>
      <c r="I383" t="s">
        <v>40</v>
      </c>
      <c r="J383" t="s">
        <v>176</v>
      </c>
      <c r="K383">
        <v>48.2</v>
      </c>
      <c r="L383">
        <v>5</v>
      </c>
      <c r="M383">
        <v>0</v>
      </c>
      <c r="N383">
        <v>4.07</v>
      </c>
      <c r="O383" t="str">
        <f t="shared" si="5"/>
        <v>Jul-2024</v>
      </c>
    </row>
    <row r="384" spans="1:15" x14ac:dyDescent="0.25">
      <c r="A384" t="s">
        <v>567</v>
      </c>
      <c r="B384" s="2">
        <v>45979</v>
      </c>
      <c r="C384" s="2">
        <v>45980</v>
      </c>
      <c r="D384" t="s">
        <v>255</v>
      </c>
      <c r="E384" t="s">
        <v>25</v>
      </c>
      <c r="F384" t="s">
        <v>18</v>
      </c>
      <c r="G384" t="s">
        <v>71</v>
      </c>
      <c r="H384" t="s">
        <v>72</v>
      </c>
      <c r="I384" t="s">
        <v>40</v>
      </c>
      <c r="J384" t="s">
        <v>176</v>
      </c>
      <c r="K384">
        <v>14.43</v>
      </c>
      <c r="L384">
        <v>4</v>
      </c>
      <c r="M384">
        <v>0.2</v>
      </c>
      <c r="N384">
        <v>3.23</v>
      </c>
      <c r="O384" t="str">
        <f t="shared" si="5"/>
        <v>Nov-2025</v>
      </c>
    </row>
    <row r="385" spans="1:15" x14ac:dyDescent="0.25">
      <c r="A385" t="s">
        <v>568</v>
      </c>
      <c r="B385" s="2">
        <v>45926</v>
      </c>
      <c r="C385" s="2">
        <v>45927</v>
      </c>
      <c r="D385" t="s">
        <v>239</v>
      </c>
      <c r="E385" t="s">
        <v>25</v>
      </c>
      <c r="F385" t="s">
        <v>63</v>
      </c>
      <c r="G385" t="s">
        <v>112</v>
      </c>
      <c r="H385" t="s">
        <v>113</v>
      </c>
      <c r="I385" t="s">
        <v>29</v>
      </c>
      <c r="J385" t="s">
        <v>87</v>
      </c>
      <c r="K385">
        <v>4428.49</v>
      </c>
      <c r="L385">
        <v>6</v>
      </c>
      <c r="M385">
        <v>0.1</v>
      </c>
      <c r="N385">
        <v>38.01</v>
      </c>
      <c r="O385" t="str">
        <f t="shared" si="5"/>
        <v>Sep-2025</v>
      </c>
    </row>
    <row r="386" spans="1:15" x14ac:dyDescent="0.25">
      <c r="A386" t="s">
        <v>569</v>
      </c>
      <c r="B386" s="2">
        <v>45730</v>
      </c>
      <c r="C386" s="2">
        <v>45732</v>
      </c>
      <c r="D386" t="s">
        <v>291</v>
      </c>
      <c r="E386" t="s">
        <v>25</v>
      </c>
      <c r="F386" t="s">
        <v>63</v>
      </c>
      <c r="G386" t="s">
        <v>106</v>
      </c>
      <c r="H386" t="s">
        <v>107</v>
      </c>
      <c r="I386" t="s">
        <v>29</v>
      </c>
      <c r="J386" t="s">
        <v>77</v>
      </c>
      <c r="K386">
        <v>257.54000000000002</v>
      </c>
      <c r="L386">
        <v>4</v>
      </c>
      <c r="M386">
        <v>0.3</v>
      </c>
      <c r="N386">
        <v>-5.46</v>
      </c>
      <c r="O386" t="str">
        <f t="shared" ref="O386:O449" si="6">TEXT(B386,"mmm-yyyy")</f>
        <v>Mar-2025</v>
      </c>
    </row>
    <row r="387" spans="1:15" x14ac:dyDescent="0.25">
      <c r="A387" t="s">
        <v>570</v>
      </c>
      <c r="B387" s="2">
        <v>45631</v>
      </c>
      <c r="C387" s="2">
        <v>45635</v>
      </c>
      <c r="D387" t="s">
        <v>54</v>
      </c>
      <c r="E387" t="s">
        <v>80</v>
      </c>
      <c r="F387" t="s">
        <v>33</v>
      </c>
      <c r="G387" t="s">
        <v>141</v>
      </c>
      <c r="H387" t="s">
        <v>142</v>
      </c>
      <c r="I387" t="s">
        <v>40</v>
      </c>
      <c r="J387" t="s">
        <v>41</v>
      </c>
      <c r="K387">
        <v>53.13</v>
      </c>
      <c r="L387">
        <v>6</v>
      </c>
      <c r="M387">
        <v>0.3</v>
      </c>
      <c r="N387">
        <v>7.53</v>
      </c>
      <c r="O387" t="str">
        <f t="shared" si="6"/>
        <v>Dec-2024</v>
      </c>
    </row>
    <row r="388" spans="1:15" x14ac:dyDescent="0.25">
      <c r="A388" t="s">
        <v>571</v>
      </c>
      <c r="B388" s="2">
        <v>45435</v>
      </c>
      <c r="C388" s="2">
        <v>45440</v>
      </c>
      <c r="D388" t="s">
        <v>144</v>
      </c>
      <c r="E388" t="s">
        <v>25</v>
      </c>
      <c r="F388" t="s">
        <v>18</v>
      </c>
      <c r="G388" t="s">
        <v>46</v>
      </c>
      <c r="H388" t="s">
        <v>47</v>
      </c>
      <c r="I388" t="s">
        <v>21</v>
      </c>
      <c r="J388" t="s">
        <v>22</v>
      </c>
      <c r="K388">
        <v>347.15</v>
      </c>
      <c r="L388">
        <v>2</v>
      </c>
      <c r="M388">
        <v>0.2</v>
      </c>
      <c r="N388">
        <v>25.21</v>
      </c>
      <c r="O388" t="str">
        <f t="shared" si="6"/>
        <v>May-2024</v>
      </c>
    </row>
    <row r="389" spans="1:15" x14ac:dyDescent="0.25">
      <c r="A389" t="s">
        <v>572</v>
      </c>
      <c r="B389" s="2">
        <v>45884</v>
      </c>
      <c r="C389" s="2">
        <v>45888</v>
      </c>
      <c r="D389" t="s">
        <v>378</v>
      </c>
      <c r="E389" t="s">
        <v>80</v>
      </c>
      <c r="F389" t="s">
        <v>18</v>
      </c>
      <c r="G389" t="s">
        <v>71</v>
      </c>
      <c r="H389" t="s">
        <v>72</v>
      </c>
      <c r="I389" t="s">
        <v>21</v>
      </c>
      <c r="J389" t="s">
        <v>22</v>
      </c>
      <c r="K389">
        <v>2815.28</v>
      </c>
      <c r="L389">
        <v>4</v>
      </c>
      <c r="M389">
        <v>0</v>
      </c>
      <c r="N389">
        <v>606.63</v>
      </c>
      <c r="O389" t="str">
        <f t="shared" si="6"/>
        <v>Aug-2025</v>
      </c>
    </row>
    <row r="390" spans="1:15" x14ac:dyDescent="0.25">
      <c r="A390" t="s">
        <v>573</v>
      </c>
      <c r="B390" s="2">
        <v>45589</v>
      </c>
      <c r="C390" s="2">
        <v>45591</v>
      </c>
      <c r="D390" t="s">
        <v>93</v>
      </c>
      <c r="E390" t="s">
        <v>80</v>
      </c>
      <c r="F390" t="s">
        <v>33</v>
      </c>
      <c r="G390" t="s">
        <v>38</v>
      </c>
      <c r="H390" t="s">
        <v>39</v>
      </c>
      <c r="I390" t="s">
        <v>40</v>
      </c>
      <c r="J390" t="s">
        <v>109</v>
      </c>
      <c r="K390">
        <v>43.76</v>
      </c>
      <c r="L390">
        <v>2</v>
      </c>
      <c r="M390">
        <v>0.1</v>
      </c>
      <c r="N390">
        <v>6.96</v>
      </c>
      <c r="O390" t="str">
        <f t="shared" si="6"/>
        <v>Oct-2024</v>
      </c>
    </row>
    <row r="391" spans="1:15" x14ac:dyDescent="0.25">
      <c r="A391" t="s">
        <v>574</v>
      </c>
      <c r="B391" s="2">
        <v>45435</v>
      </c>
      <c r="C391" s="2">
        <v>45439</v>
      </c>
      <c r="D391" t="s">
        <v>362</v>
      </c>
      <c r="E391" t="s">
        <v>80</v>
      </c>
      <c r="F391" t="s">
        <v>18</v>
      </c>
      <c r="G391" t="s">
        <v>46</v>
      </c>
      <c r="H391" t="s">
        <v>47</v>
      </c>
      <c r="I391" t="s">
        <v>21</v>
      </c>
      <c r="J391" t="s">
        <v>103</v>
      </c>
      <c r="K391">
        <v>1560.7</v>
      </c>
      <c r="L391">
        <v>3</v>
      </c>
      <c r="M391">
        <v>0.2</v>
      </c>
      <c r="N391">
        <v>420.77</v>
      </c>
      <c r="O391" t="str">
        <f t="shared" si="6"/>
        <v>May-2024</v>
      </c>
    </row>
    <row r="392" spans="1:15" x14ac:dyDescent="0.25">
      <c r="A392" t="s">
        <v>575</v>
      </c>
      <c r="B392" s="2">
        <v>45562</v>
      </c>
      <c r="C392" s="2">
        <v>45565</v>
      </c>
      <c r="D392" t="s">
        <v>16</v>
      </c>
      <c r="E392" t="s">
        <v>17</v>
      </c>
      <c r="F392" t="s">
        <v>63</v>
      </c>
      <c r="G392" t="s">
        <v>149</v>
      </c>
      <c r="H392" t="s">
        <v>150</v>
      </c>
      <c r="I392" t="s">
        <v>29</v>
      </c>
      <c r="J392" t="s">
        <v>30</v>
      </c>
      <c r="K392">
        <v>145.38</v>
      </c>
      <c r="L392">
        <v>4</v>
      </c>
      <c r="M392">
        <v>0.15</v>
      </c>
      <c r="N392">
        <v>46.86</v>
      </c>
      <c r="O392" t="str">
        <f t="shared" si="6"/>
        <v>Sep-2024</v>
      </c>
    </row>
    <row r="393" spans="1:15" x14ac:dyDescent="0.25">
      <c r="A393" t="s">
        <v>576</v>
      </c>
      <c r="B393" s="2">
        <v>45956</v>
      </c>
      <c r="C393" s="2">
        <v>45959</v>
      </c>
      <c r="D393" t="s">
        <v>373</v>
      </c>
      <c r="E393" t="s">
        <v>17</v>
      </c>
      <c r="F393" t="s">
        <v>63</v>
      </c>
      <c r="G393" t="s">
        <v>64</v>
      </c>
      <c r="H393" t="s">
        <v>65</v>
      </c>
      <c r="I393" t="s">
        <v>40</v>
      </c>
      <c r="J393" t="s">
        <v>109</v>
      </c>
      <c r="K393">
        <v>24.32</v>
      </c>
      <c r="L393">
        <v>5</v>
      </c>
      <c r="M393">
        <v>0.3</v>
      </c>
      <c r="N393">
        <v>6.63</v>
      </c>
      <c r="O393" t="str">
        <f t="shared" si="6"/>
        <v>Oct-2025</v>
      </c>
    </row>
    <row r="394" spans="1:15" x14ac:dyDescent="0.25">
      <c r="A394" t="s">
        <v>577</v>
      </c>
      <c r="B394" s="2">
        <v>45961</v>
      </c>
      <c r="C394" s="2">
        <v>45968</v>
      </c>
      <c r="D394" t="s">
        <v>275</v>
      </c>
      <c r="E394" t="s">
        <v>80</v>
      </c>
      <c r="F394" t="s">
        <v>26</v>
      </c>
      <c r="G394" t="s">
        <v>96</v>
      </c>
      <c r="H394" t="s">
        <v>97</v>
      </c>
      <c r="I394" t="s">
        <v>21</v>
      </c>
      <c r="J394" t="s">
        <v>123</v>
      </c>
      <c r="K394">
        <v>1045.44</v>
      </c>
      <c r="L394">
        <v>5</v>
      </c>
      <c r="M394">
        <v>0.1</v>
      </c>
      <c r="N394">
        <v>79.92</v>
      </c>
      <c r="O394" t="str">
        <f t="shared" si="6"/>
        <v>Oct-2025</v>
      </c>
    </row>
    <row r="395" spans="1:15" x14ac:dyDescent="0.25">
      <c r="A395" t="s">
        <v>578</v>
      </c>
      <c r="B395" s="2">
        <v>45790</v>
      </c>
      <c r="C395" s="2">
        <v>45797</v>
      </c>
      <c r="D395" t="s">
        <v>378</v>
      </c>
      <c r="E395" t="s">
        <v>25</v>
      </c>
      <c r="F395" t="s">
        <v>26</v>
      </c>
      <c r="G395" t="s">
        <v>27</v>
      </c>
      <c r="H395" t="s">
        <v>28</v>
      </c>
      <c r="I395" t="s">
        <v>40</v>
      </c>
      <c r="J395" t="s">
        <v>98</v>
      </c>
      <c r="K395">
        <v>86.36</v>
      </c>
      <c r="L395">
        <v>1</v>
      </c>
      <c r="M395">
        <v>0.15</v>
      </c>
      <c r="N395">
        <v>27.17</v>
      </c>
      <c r="O395" t="str">
        <f t="shared" si="6"/>
        <v>May-2025</v>
      </c>
    </row>
    <row r="396" spans="1:15" x14ac:dyDescent="0.25">
      <c r="A396" t="s">
        <v>579</v>
      </c>
      <c r="B396" s="2">
        <v>45579</v>
      </c>
      <c r="C396" s="2">
        <v>45581</v>
      </c>
      <c r="D396" t="s">
        <v>189</v>
      </c>
      <c r="E396" t="s">
        <v>80</v>
      </c>
      <c r="F396" t="s">
        <v>33</v>
      </c>
      <c r="G396" t="s">
        <v>38</v>
      </c>
      <c r="H396" t="s">
        <v>39</v>
      </c>
      <c r="I396" t="s">
        <v>29</v>
      </c>
      <c r="J396" t="s">
        <v>55</v>
      </c>
      <c r="K396">
        <v>474.39</v>
      </c>
      <c r="L396">
        <v>3</v>
      </c>
      <c r="M396">
        <v>0</v>
      </c>
      <c r="N396">
        <v>109.4</v>
      </c>
      <c r="O396" t="str">
        <f t="shared" si="6"/>
        <v>Oct-2024</v>
      </c>
    </row>
    <row r="397" spans="1:15" x14ac:dyDescent="0.25">
      <c r="A397" t="s">
        <v>580</v>
      </c>
      <c r="B397" s="2">
        <v>45785</v>
      </c>
      <c r="C397" s="2">
        <v>45791</v>
      </c>
      <c r="D397" t="s">
        <v>105</v>
      </c>
      <c r="E397" t="s">
        <v>17</v>
      </c>
      <c r="F397" t="s">
        <v>18</v>
      </c>
      <c r="G397" t="s">
        <v>46</v>
      </c>
      <c r="H397" t="s">
        <v>47</v>
      </c>
      <c r="I397" t="s">
        <v>40</v>
      </c>
      <c r="J397" t="s">
        <v>98</v>
      </c>
      <c r="K397">
        <v>343.3</v>
      </c>
      <c r="L397">
        <v>4</v>
      </c>
      <c r="M397">
        <v>0.15</v>
      </c>
      <c r="N397">
        <v>33.770000000000003</v>
      </c>
      <c r="O397" t="str">
        <f t="shared" si="6"/>
        <v>May-2025</v>
      </c>
    </row>
    <row r="398" spans="1:15" x14ac:dyDescent="0.25">
      <c r="A398" t="s">
        <v>581</v>
      </c>
      <c r="B398" s="2">
        <v>45898</v>
      </c>
      <c r="C398" s="2">
        <v>45900</v>
      </c>
      <c r="D398" t="s">
        <v>230</v>
      </c>
      <c r="E398" t="s">
        <v>80</v>
      </c>
      <c r="F398" t="s">
        <v>33</v>
      </c>
      <c r="G398" t="s">
        <v>34</v>
      </c>
      <c r="H398" t="s">
        <v>35</v>
      </c>
      <c r="I398" t="s">
        <v>29</v>
      </c>
      <c r="J398" t="s">
        <v>55</v>
      </c>
      <c r="K398">
        <v>127.55</v>
      </c>
      <c r="L398">
        <v>1</v>
      </c>
      <c r="M398">
        <v>0.15</v>
      </c>
      <c r="N398">
        <v>12</v>
      </c>
      <c r="O398" t="str">
        <f t="shared" si="6"/>
        <v>Aug-2025</v>
      </c>
    </row>
    <row r="399" spans="1:15" x14ac:dyDescent="0.25">
      <c r="A399" t="s">
        <v>582</v>
      </c>
      <c r="B399" s="2">
        <v>45944</v>
      </c>
      <c r="C399" s="2">
        <v>45945</v>
      </c>
      <c r="D399" t="s">
        <v>321</v>
      </c>
      <c r="E399" t="s">
        <v>80</v>
      </c>
      <c r="F399" t="s">
        <v>26</v>
      </c>
      <c r="G399" t="s">
        <v>75</v>
      </c>
      <c r="H399" t="s">
        <v>76</v>
      </c>
      <c r="I399" t="s">
        <v>29</v>
      </c>
      <c r="J399" t="s">
        <v>30</v>
      </c>
      <c r="K399">
        <v>664.95</v>
      </c>
      <c r="L399">
        <v>5</v>
      </c>
      <c r="M399">
        <v>0</v>
      </c>
      <c r="N399">
        <v>76.45</v>
      </c>
      <c r="O399" t="str">
        <f t="shared" si="6"/>
        <v>Oct-2025</v>
      </c>
    </row>
    <row r="400" spans="1:15" x14ac:dyDescent="0.25">
      <c r="A400" t="s">
        <v>583</v>
      </c>
      <c r="B400" s="2">
        <v>45907</v>
      </c>
      <c r="C400" s="2">
        <v>45909</v>
      </c>
      <c r="D400" t="s">
        <v>122</v>
      </c>
      <c r="E400" t="s">
        <v>25</v>
      </c>
      <c r="F400" t="s">
        <v>33</v>
      </c>
      <c r="G400" t="s">
        <v>131</v>
      </c>
      <c r="H400" t="s">
        <v>132</v>
      </c>
      <c r="I400" t="s">
        <v>29</v>
      </c>
      <c r="J400" t="s">
        <v>87</v>
      </c>
      <c r="K400">
        <v>1876.01</v>
      </c>
      <c r="L400">
        <v>3</v>
      </c>
      <c r="M400">
        <v>0.15</v>
      </c>
      <c r="N400">
        <v>67.08</v>
      </c>
      <c r="O400" t="str">
        <f t="shared" si="6"/>
        <v>Sep-2025</v>
      </c>
    </row>
    <row r="401" spans="1:15" x14ac:dyDescent="0.25">
      <c r="A401" t="s">
        <v>584</v>
      </c>
      <c r="B401" s="2">
        <v>45896</v>
      </c>
      <c r="C401" s="2">
        <v>45897</v>
      </c>
      <c r="D401" t="s">
        <v>214</v>
      </c>
      <c r="E401" t="s">
        <v>80</v>
      </c>
      <c r="F401" t="s">
        <v>63</v>
      </c>
      <c r="G401" t="s">
        <v>67</v>
      </c>
      <c r="H401" t="s">
        <v>68</v>
      </c>
      <c r="I401" t="s">
        <v>21</v>
      </c>
      <c r="J401" t="s">
        <v>60</v>
      </c>
      <c r="K401">
        <v>536.54999999999995</v>
      </c>
      <c r="L401">
        <v>7</v>
      </c>
      <c r="M401">
        <v>0</v>
      </c>
      <c r="N401">
        <v>44.3</v>
      </c>
      <c r="O401" t="str">
        <f t="shared" si="6"/>
        <v>Aug-2025</v>
      </c>
    </row>
    <row r="402" spans="1:15" x14ac:dyDescent="0.25">
      <c r="A402" t="s">
        <v>585</v>
      </c>
      <c r="B402" s="2">
        <v>45912</v>
      </c>
      <c r="C402" s="2">
        <v>45913</v>
      </c>
      <c r="D402" t="s">
        <v>197</v>
      </c>
      <c r="E402" t="s">
        <v>17</v>
      </c>
      <c r="F402" t="s">
        <v>26</v>
      </c>
      <c r="G402" t="s">
        <v>27</v>
      </c>
      <c r="H402" t="s">
        <v>28</v>
      </c>
      <c r="I402" t="s">
        <v>21</v>
      </c>
      <c r="J402" t="s">
        <v>123</v>
      </c>
      <c r="K402">
        <v>281.13</v>
      </c>
      <c r="L402">
        <v>1</v>
      </c>
      <c r="M402">
        <v>0.3</v>
      </c>
      <c r="N402">
        <v>5.37</v>
      </c>
      <c r="O402" t="str">
        <f t="shared" si="6"/>
        <v>Sep-2025</v>
      </c>
    </row>
    <row r="403" spans="1:15" x14ac:dyDescent="0.25">
      <c r="A403" t="s">
        <v>586</v>
      </c>
      <c r="B403" s="2">
        <v>45293</v>
      </c>
      <c r="C403" s="2">
        <v>45300</v>
      </c>
      <c r="D403" t="s">
        <v>237</v>
      </c>
      <c r="E403" t="s">
        <v>80</v>
      </c>
      <c r="F403" t="s">
        <v>18</v>
      </c>
      <c r="G403" t="s">
        <v>19</v>
      </c>
      <c r="H403" t="s">
        <v>20</v>
      </c>
      <c r="I403" t="s">
        <v>40</v>
      </c>
      <c r="J403" t="s">
        <v>41</v>
      </c>
      <c r="K403">
        <v>104.78</v>
      </c>
      <c r="L403">
        <v>7</v>
      </c>
      <c r="M403">
        <v>0.15</v>
      </c>
      <c r="N403">
        <v>18.46</v>
      </c>
      <c r="O403" t="str">
        <f t="shared" si="6"/>
        <v>Jan-2024</v>
      </c>
    </row>
    <row r="404" spans="1:15" x14ac:dyDescent="0.25">
      <c r="A404" t="s">
        <v>587</v>
      </c>
      <c r="B404" s="2">
        <v>45682</v>
      </c>
      <c r="C404" s="2">
        <v>45685</v>
      </c>
      <c r="D404" t="s">
        <v>212</v>
      </c>
      <c r="E404" t="s">
        <v>25</v>
      </c>
      <c r="F404" t="s">
        <v>18</v>
      </c>
      <c r="G404" t="s">
        <v>71</v>
      </c>
      <c r="H404" t="s">
        <v>72</v>
      </c>
      <c r="I404" t="s">
        <v>40</v>
      </c>
      <c r="J404" t="s">
        <v>41</v>
      </c>
      <c r="K404">
        <v>27.99</v>
      </c>
      <c r="L404">
        <v>2</v>
      </c>
      <c r="M404">
        <v>0.1</v>
      </c>
      <c r="N404">
        <v>2.52</v>
      </c>
      <c r="O404" t="str">
        <f t="shared" si="6"/>
        <v>Jan-2025</v>
      </c>
    </row>
    <row r="405" spans="1:15" x14ac:dyDescent="0.25">
      <c r="A405" t="s">
        <v>588</v>
      </c>
      <c r="B405" s="2">
        <v>45710</v>
      </c>
      <c r="C405" s="2">
        <v>45713</v>
      </c>
      <c r="D405" t="s">
        <v>321</v>
      </c>
      <c r="E405" t="s">
        <v>80</v>
      </c>
      <c r="F405" t="s">
        <v>33</v>
      </c>
      <c r="G405" t="s">
        <v>38</v>
      </c>
      <c r="H405" t="s">
        <v>39</v>
      </c>
      <c r="I405" t="s">
        <v>29</v>
      </c>
      <c r="J405" t="s">
        <v>77</v>
      </c>
      <c r="K405">
        <v>142.38</v>
      </c>
      <c r="L405">
        <v>1</v>
      </c>
      <c r="M405">
        <v>0.15</v>
      </c>
      <c r="N405">
        <v>2.5499999999999998</v>
      </c>
      <c r="O405" t="str">
        <f t="shared" si="6"/>
        <v>Feb-2025</v>
      </c>
    </row>
    <row r="406" spans="1:15" x14ac:dyDescent="0.25">
      <c r="A406" t="s">
        <v>589</v>
      </c>
      <c r="B406" s="2">
        <v>45710</v>
      </c>
      <c r="C406" s="2">
        <v>45713</v>
      </c>
      <c r="D406" t="s">
        <v>162</v>
      </c>
      <c r="E406" t="s">
        <v>25</v>
      </c>
      <c r="F406" t="s">
        <v>18</v>
      </c>
      <c r="G406" t="s">
        <v>58</v>
      </c>
      <c r="H406" t="s">
        <v>59</v>
      </c>
      <c r="I406" t="s">
        <v>21</v>
      </c>
      <c r="J406" t="s">
        <v>103</v>
      </c>
      <c r="K406">
        <v>2993.09</v>
      </c>
      <c r="L406">
        <v>7</v>
      </c>
      <c r="M406">
        <v>0.2</v>
      </c>
      <c r="N406">
        <v>675.27</v>
      </c>
      <c r="O406" t="str">
        <f t="shared" si="6"/>
        <v>Feb-2025</v>
      </c>
    </row>
    <row r="407" spans="1:15" x14ac:dyDescent="0.25">
      <c r="A407" t="s">
        <v>590</v>
      </c>
      <c r="B407" s="2">
        <v>45574</v>
      </c>
      <c r="C407" s="2">
        <v>45580</v>
      </c>
      <c r="D407" t="s">
        <v>275</v>
      </c>
      <c r="E407" t="s">
        <v>80</v>
      </c>
      <c r="F407" t="s">
        <v>63</v>
      </c>
      <c r="G407" t="s">
        <v>106</v>
      </c>
      <c r="H407" t="s">
        <v>107</v>
      </c>
      <c r="I407" t="s">
        <v>40</v>
      </c>
      <c r="J407" t="s">
        <v>176</v>
      </c>
      <c r="K407">
        <v>23.62</v>
      </c>
      <c r="L407">
        <v>4</v>
      </c>
      <c r="M407">
        <v>0.1</v>
      </c>
      <c r="N407">
        <v>5.09</v>
      </c>
      <c r="O407" t="str">
        <f t="shared" si="6"/>
        <v>Oct-2024</v>
      </c>
    </row>
    <row r="408" spans="1:15" x14ac:dyDescent="0.25">
      <c r="A408" t="s">
        <v>591</v>
      </c>
      <c r="B408" s="2">
        <v>45551</v>
      </c>
      <c r="C408" s="2">
        <v>45554</v>
      </c>
      <c r="D408" t="s">
        <v>120</v>
      </c>
      <c r="E408" t="s">
        <v>25</v>
      </c>
      <c r="F408" t="s">
        <v>33</v>
      </c>
      <c r="G408" t="s">
        <v>38</v>
      </c>
      <c r="H408" t="s">
        <v>39</v>
      </c>
      <c r="I408" t="s">
        <v>40</v>
      </c>
      <c r="J408" t="s">
        <v>176</v>
      </c>
      <c r="K408">
        <v>50.9</v>
      </c>
      <c r="L408">
        <v>7</v>
      </c>
      <c r="M408">
        <v>0.2</v>
      </c>
      <c r="N408">
        <v>4.6500000000000004</v>
      </c>
      <c r="O408" t="str">
        <f t="shared" si="6"/>
        <v>Sep-2024</v>
      </c>
    </row>
    <row r="409" spans="1:15" x14ac:dyDescent="0.25">
      <c r="A409" t="s">
        <v>592</v>
      </c>
      <c r="B409" s="2">
        <v>45812</v>
      </c>
      <c r="C409" s="2">
        <v>45816</v>
      </c>
      <c r="D409" t="s">
        <v>239</v>
      </c>
      <c r="E409" t="s">
        <v>17</v>
      </c>
      <c r="F409" t="s">
        <v>18</v>
      </c>
      <c r="G409" t="s">
        <v>46</v>
      </c>
      <c r="H409" t="s">
        <v>47</v>
      </c>
      <c r="I409" t="s">
        <v>40</v>
      </c>
      <c r="J409" t="s">
        <v>41</v>
      </c>
      <c r="K409">
        <v>20.079999999999998</v>
      </c>
      <c r="L409">
        <v>1</v>
      </c>
      <c r="M409">
        <v>0</v>
      </c>
      <c r="N409">
        <v>3.35</v>
      </c>
      <c r="O409" t="str">
        <f t="shared" si="6"/>
        <v>Jun-2025</v>
      </c>
    </row>
    <row r="410" spans="1:15" x14ac:dyDescent="0.25">
      <c r="A410" t="s">
        <v>593</v>
      </c>
      <c r="B410" s="2">
        <v>45382</v>
      </c>
      <c r="C410" s="2">
        <v>45383</v>
      </c>
      <c r="D410" t="s">
        <v>321</v>
      </c>
      <c r="E410" t="s">
        <v>25</v>
      </c>
      <c r="F410" t="s">
        <v>18</v>
      </c>
      <c r="G410" t="s">
        <v>19</v>
      </c>
      <c r="H410" t="s">
        <v>20</v>
      </c>
      <c r="I410" t="s">
        <v>29</v>
      </c>
      <c r="J410" t="s">
        <v>30</v>
      </c>
      <c r="K410">
        <v>280.98</v>
      </c>
      <c r="L410">
        <v>6</v>
      </c>
      <c r="M410">
        <v>0</v>
      </c>
      <c r="N410">
        <v>65.39</v>
      </c>
      <c r="O410" t="str">
        <f t="shared" si="6"/>
        <v>Mar-2024</v>
      </c>
    </row>
    <row r="411" spans="1:15" x14ac:dyDescent="0.25">
      <c r="A411" t="s">
        <v>594</v>
      </c>
      <c r="B411" s="2">
        <v>45350</v>
      </c>
      <c r="C411" s="2">
        <v>45357</v>
      </c>
      <c r="D411" t="s">
        <v>352</v>
      </c>
      <c r="E411" t="s">
        <v>80</v>
      </c>
      <c r="F411" t="s">
        <v>33</v>
      </c>
      <c r="G411" t="s">
        <v>131</v>
      </c>
      <c r="H411" t="s">
        <v>132</v>
      </c>
      <c r="I411" t="s">
        <v>21</v>
      </c>
      <c r="J411" t="s">
        <v>60</v>
      </c>
      <c r="K411">
        <v>1784.66</v>
      </c>
      <c r="L411">
        <v>8</v>
      </c>
      <c r="M411">
        <v>0.1</v>
      </c>
      <c r="N411">
        <v>94.97</v>
      </c>
      <c r="O411" t="str">
        <f t="shared" si="6"/>
        <v>Feb-2024</v>
      </c>
    </row>
    <row r="412" spans="1:15" x14ac:dyDescent="0.25">
      <c r="A412" t="s">
        <v>595</v>
      </c>
      <c r="B412" s="2">
        <v>45982</v>
      </c>
      <c r="C412" s="2">
        <v>45983</v>
      </c>
      <c r="D412" t="s">
        <v>210</v>
      </c>
      <c r="E412" t="s">
        <v>17</v>
      </c>
      <c r="F412" t="s">
        <v>63</v>
      </c>
      <c r="G412" t="s">
        <v>67</v>
      </c>
      <c r="H412" t="s">
        <v>68</v>
      </c>
      <c r="I412" t="s">
        <v>29</v>
      </c>
      <c r="J412" t="s">
        <v>87</v>
      </c>
      <c r="K412">
        <v>387.79</v>
      </c>
      <c r="L412">
        <v>1</v>
      </c>
      <c r="M412">
        <v>0</v>
      </c>
      <c r="N412">
        <v>-15.01</v>
      </c>
      <c r="O412" t="str">
        <f t="shared" si="6"/>
        <v>Nov-2025</v>
      </c>
    </row>
    <row r="413" spans="1:15" x14ac:dyDescent="0.25">
      <c r="A413" t="s">
        <v>596</v>
      </c>
      <c r="B413" s="2">
        <v>45497</v>
      </c>
      <c r="C413" s="2">
        <v>45502</v>
      </c>
      <c r="D413" t="s">
        <v>241</v>
      </c>
      <c r="E413" t="s">
        <v>80</v>
      </c>
      <c r="F413" t="s">
        <v>63</v>
      </c>
      <c r="G413" t="s">
        <v>64</v>
      </c>
      <c r="H413" t="s">
        <v>65</v>
      </c>
      <c r="I413" t="s">
        <v>40</v>
      </c>
      <c r="J413" t="s">
        <v>109</v>
      </c>
      <c r="K413">
        <v>5.48</v>
      </c>
      <c r="L413">
        <v>2</v>
      </c>
      <c r="M413">
        <v>0</v>
      </c>
      <c r="N413">
        <v>1.18</v>
      </c>
      <c r="O413" t="str">
        <f t="shared" si="6"/>
        <v>Jul-2024</v>
      </c>
    </row>
    <row r="414" spans="1:15" x14ac:dyDescent="0.25">
      <c r="A414" t="s">
        <v>597</v>
      </c>
      <c r="B414" s="2">
        <v>45757</v>
      </c>
      <c r="C414" s="2">
        <v>45761</v>
      </c>
      <c r="D414" t="s">
        <v>237</v>
      </c>
      <c r="E414" t="s">
        <v>17</v>
      </c>
      <c r="F414" t="s">
        <v>63</v>
      </c>
      <c r="G414" t="s">
        <v>112</v>
      </c>
      <c r="H414" t="s">
        <v>113</v>
      </c>
      <c r="I414" t="s">
        <v>40</v>
      </c>
      <c r="J414" t="s">
        <v>41</v>
      </c>
      <c r="K414">
        <v>76.099999999999994</v>
      </c>
      <c r="L414">
        <v>5</v>
      </c>
      <c r="M414">
        <v>0</v>
      </c>
      <c r="N414">
        <v>13.1</v>
      </c>
      <c r="O414" t="str">
        <f t="shared" si="6"/>
        <v>Apr-2025</v>
      </c>
    </row>
    <row r="415" spans="1:15" x14ac:dyDescent="0.25">
      <c r="A415" t="s">
        <v>598</v>
      </c>
      <c r="B415" s="2">
        <v>45817</v>
      </c>
      <c r="C415" s="2">
        <v>45820</v>
      </c>
      <c r="D415" t="s">
        <v>134</v>
      </c>
      <c r="E415" t="s">
        <v>17</v>
      </c>
      <c r="F415" t="s">
        <v>18</v>
      </c>
      <c r="G415" t="s">
        <v>71</v>
      </c>
      <c r="H415" t="s">
        <v>72</v>
      </c>
      <c r="I415" t="s">
        <v>29</v>
      </c>
      <c r="J415" t="s">
        <v>77</v>
      </c>
      <c r="K415">
        <v>1796.84</v>
      </c>
      <c r="L415">
        <v>5</v>
      </c>
      <c r="M415">
        <v>0.2</v>
      </c>
      <c r="N415">
        <v>13.58</v>
      </c>
      <c r="O415" t="str">
        <f t="shared" si="6"/>
        <v>Jun-2025</v>
      </c>
    </row>
    <row r="416" spans="1:15" x14ac:dyDescent="0.25">
      <c r="A416" t="s">
        <v>599</v>
      </c>
      <c r="B416" s="2">
        <v>45761</v>
      </c>
      <c r="C416" s="2">
        <v>45767</v>
      </c>
      <c r="D416" t="s">
        <v>362</v>
      </c>
      <c r="E416" t="s">
        <v>25</v>
      </c>
      <c r="F416" t="s">
        <v>33</v>
      </c>
      <c r="G416" t="s">
        <v>165</v>
      </c>
      <c r="H416" t="s">
        <v>166</v>
      </c>
      <c r="I416" t="s">
        <v>40</v>
      </c>
      <c r="J416" t="s">
        <v>41</v>
      </c>
      <c r="K416">
        <v>11.34</v>
      </c>
      <c r="L416">
        <v>1</v>
      </c>
      <c r="M416">
        <v>0.1</v>
      </c>
      <c r="N416">
        <v>0.96</v>
      </c>
      <c r="O416" t="str">
        <f t="shared" si="6"/>
        <v>Apr-2025</v>
      </c>
    </row>
    <row r="417" spans="1:15" x14ac:dyDescent="0.25">
      <c r="A417" t="s">
        <v>600</v>
      </c>
      <c r="B417" s="2">
        <v>45527</v>
      </c>
      <c r="C417" s="2">
        <v>45534</v>
      </c>
      <c r="D417" t="s">
        <v>54</v>
      </c>
      <c r="E417" t="s">
        <v>80</v>
      </c>
      <c r="F417" t="s">
        <v>18</v>
      </c>
      <c r="G417" t="s">
        <v>58</v>
      </c>
      <c r="H417" t="s">
        <v>59</v>
      </c>
      <c r="I417" t="s">
        <v>21</v>
      </c>
      <c r="J417" t="s">
        <v>103</v>
      </c>
      <c r="K417">
        <v>5072.51</v>
      </c>
      <c r="L417">
        <v>6</v>
      </c>
      <c r="M417">
        <v>0.15</v>
      </c>
      <c r="N417">
        <v>1068.76</v>
      </c>
      <c r="O417" t="str">
        <f t="shared" si="6"/>
        <v>Aug-2024</v>
      </c>
    </row>
    <row r="418" spans="1:15" x14ac:dyDescent="0.25">
      <c r="A418" t="s">
        <v>601</v>
      </c>
      <c r="B418" s="2">
        <v>45642</v>
      </c>
      <c r="C418" s="2">
        <v>45643</v>
      </c>
      <c r="D418" t="s">
        <v>241</v>
      </c>
      <c r="E418" t="s">
        <v>80</v>
      </c>
      <c r="F418" t="s">
        <v>63</v>
      </c>
      <c r="G418" t="s">
        <v>67</v>
      </c>
      <c r="H418" t="s">
        <v>68</v>
      </c>
      <c r="I418" t="s">
        <v>40</v>
      </c>
      <c r="J418" t="s">
        <v>48</v>
      </c>
      <c r="K418">
        <v>62.29</v>
      </c>
      <c r="L418">
        <v>3</v>
      </c>
      <c r="M418">
        <v>0.1</v>
      </c>
      <c r="N418">
        <v>8.98</v>
      </c>
      <c r="O418" t="str">
        <f t="shared" si="6"/>
        <v>Dec-2024</v>
      </c>
    </row>
    <row r="419" spans="1:15" x14ac:dyDescent="0.25">
      <c r="A419" t="s">
        <v>602</v>
      </c>
      <c r="B419" s="2">
        <v>45486</v>
      </c>
      <c r="C419" s="2">
        <v>45490</v>
      </c>
      <c r="D419" t="s">
        <v>50</v>
      </c>
      <c r="E419" t="s">
        <v>80</v>
      </c>
      <c r="F419" t="s">
        <v>26</v>
      </c>
      <c r="G419" t="s">
        <v>27</v>
      </c>
      <c r="H419" t="s">
        <v>28</v>
      </c>
      <c r="I419" t="s">
        <v>40</v>
      </c>
      <c r="J419" t="s">
        <v>41</v>
      </c>
      <c r="K419">
        <v>60.64</v>
      </c>
      <c r="L419">
        <v>4</v>
      </c>
      <c r="M419">
        <v>0.2</v>
      </c>
      <c r="N419">
        <v>7.44</v>
      </c>
      <c r="O419" t="str">
        <f t="shared" si="6"/>
        <v>Jul-2024</v>
      </c>
    </row>
    <row r="420" spans="1:15" x14ac:dyDescent="0.25">
      <c r="A420" t="s">
        <v>603</v>
      </c>
      <c r="B420" s="2">
        <v>45925</v>
      </c>
      <c r="C420" s="2">
        <v>45928</v>
      </c>
      <c r="D420" t="s">
        <v>122</v>
      </c>
      <c r="E420" t="s">
        <v>17</v>
      </c>
      <c r="F420" t="s">
        <v>63</v>
      </c>
      <c r="G420" t="s">
        <v>67</v>
      </c>
      <c r="H420" t="s">
        <v>68</v>
      </c>
      <c r="I420" t="s">
        <v>29</v>
      </c>
      <c r="J420" t="s">
        <v>87</v>
      </c>
      <c r="K420">
        <v>449.6</v>
      </c>
      <c r="L420">
        <v>2</v>
      </c>
      <c r="M420">
        <v>0</v>
      </c>
      <c r="N420">
        <v>31.3</v>
      </c>
      <c r="O420" t="str">
        <f t="shared" si="6"/>
        <v>Sep-2025</v>
      </c>
    </row>
    <row r="421" spans="1:15" x14ac:dyDescent="0.25">
      <c r="A421" t="s">
        <v>604</v>
      </c>
      <c r="B421" s="2">
        <v>45927</v>
      </c>
      <c r="C421" s="2">
        <v>45930</v>
      </c>
      <c r="D421" t="s">
        <v>467</v>
      </c>
      <c r="E421" t="s">
        <v>25</v>
      </c>
      <c r="F421" t="s">
        <v>33</v>
      </c>
      <c r="G421" t="s">
        <v>165</v>
      </c>
      <c r="H421" t="s">
        <v>166</v>
      </c>
      <c r="I421" t="s">
        <v>29</v>
      </c>
      <c r="J421" t="s">
        <v>55</v>
      </c>
      <c r="K421">
        <v>1512.09</v>
      </c>
      <c r="L421">
        <v>5</v>
      </c>
      <c r="M421">
        <v>0.1</v>
      </c>
      <c r="N421">
        <v>158.56</v>
      </c>
      <c r="O421" t="str">
        <f t="shared" si="6"/>
        <v>Sep-2025</v>
      </c>
    </row>
    <row r="422" spans="1:15" x14ac:dyDescent="0.25">
      <c r="A422" t="s">
        <v>605</v>
      </c>
      <c r="B422" s="2">
        <v>45725</v>
      </c>
      <c r="C422" s="2">
        <v>45729</v>
      </c>
      <c r="D422" t="s">
        <v>365</v>
      </c>
      <c r="E422" t="s">
        <v>80</v>
      </c>
      <c r="F422" t="s">
        <v>63</v>
      </c>
      <c r="G422" t="s">
        <v>64</v>
      </c>
      <c r="H422" t="s">
        <v>65</v>
      </c>
      <c r="I422" t="s">
        <v>29</v>
      </c>
      <c r="J422" t="s">
        <v>87</v>
      </c>
      <c r="K422">
        <v>723.96</v>
      </c>
      <c r="L422">
        <v>1</v>
      </c>
      <c r="M422">
        <v>0.15</v>
      </c>
      <c r="N422">
        <v>-3.51</v>
      </c>
      <c r="O422" t="str">
        <f t="shared" si="6"/>
        <v>Mar-2025</v>
      </c>
    </row>
    <row r="423" spans="1:15" x14ac:dyDescent="0.25">
      <c r="A423" t="s">
        <v>606</v>
      </c>
      <c r="B423" s="2">
        <v>45300</v>
      </c>
      <c r="C423" s="2">
        <v>45301</v>
      </c>
      <c r="D423" t="s">
        <v>200</v>
      </c>
      <c r="E423" t="s">
        <v>80</v>
      </c>
      <c r="F423" t="s">
        <v>26</v>
      </c>
      <c r="G423" t="s">
        <v>96</v>
      </c>
      <c r="H423" t="s">
        <v>97</v>
      </c>
      <c r="I423" t="s">
        <v>29</v>
      </c>
      <c r="J423" t="s">
        <v>30</v>
      </c>
      <c r="K423">
        <v>621</v>
      </c>
      <c r="L423">
        <v>7</v>
      </c>
      <c r="M423">
        <v>0.15</v>
      </c>
      <c r="N423">
        <v>49.82</v>
      </c>
      <c r="O423" t="str">
        <f t="shared" si="6"/>
        <v>Jan-2024</v>
      </c>
    </row>
    <row r="424" spans="1:15" x14ac:dyDescent="0.25">
      <c r="A424" t="s">
        <v>607</v>
      </c>
      <c r="B424" s="2">
        <v>45534</v>
      </c>
      <c r="C424" s="2">
        <v>45537</v>
      </c>
      <c r="D424" t="s">
        <v>304</v>
      </c>
      <c r="E424" t="s">
        <v>25</v>
      </c>
      <c r="F424" t="s">
        <v>63</v>
      </c>
      <c r="G424" t="s">
        <v>106</v>
      </c>
      <c r="H424" t="s">
        <v>107</v>
      </c>
      <c r="I424" t="s">
        <v>40</v>
      </c>
      <c r="J424" t="s">
        <v>41</v>
      </c>
      <c r="K424">
        <v>77.040000000000006</v>
      </c>
      <c r="L424">
        <v>6</v>
      </c>
      <c r="M424">
        <v>0</v>
      </c>
      <c r="N424">
        <v>8.1</v>
      </c>
      <c r="O424" t="str">
        <f t="shared" si="6"/>
        <v>Aug-2024</v>
      </c>
    </row>
    <row r="425" spans="1:15" x14ac:dyDescent="0.25">
      <c r="A425" t="s">
        <v>608</v>
      </c>
      <c r="B425" s="2">
        <v>45578</v>
      </c>
      <c r="C425" s="2">
        <v>45582</v>
      </c>
      <c r="D425" t="s">
        <v>275</v>
      </c>
      <c r="E425" t="s">
        <v>25</v>
      </c>
      <c r="F425" t="s">
        <v>33</v>
      </c>
      <c r="G425" t="s">
        <v>38</v>
      </c>
      <c r="H425" t="s">
        <v>39</v>
      </c>
      <c r="I425" t="s">
        <v>40</v>
      </c>
      <c r="J425" t="s">
        <v>98</v>
      </c>
      <c r="K425">
        <v>112.66</v>
      </c>
      <c r="L425">
        <v>3</v>
      </c>
      <c r="M425">
        <v>0.15</v>
      </c>
      <c r="N425">
        <v>28.82</v>
      </c>
      <c r="O425" t="str">
        <f t="shared" si="6"/>
        <v>Oct-2024</v>
      </c>
    </row>
    <row r="426" spans="1:15" x14ac:dyDescent="0.25">
      <c r="A426" t="s">
        <v>609</v>
      </c>
      <c r="B426" s="2">
        <v>45441</v>
      </c>
      <c r="C426" s="2">
        <v>45448</v>
      </c>
      <c r="D426" t="s">
        <v>205</v>
      </c>
      <c r="E426" t="s">
        <v>17</v>
      </c>
      <c r="F426" t="s">
        <v>18</v>
      </c>
      <c r="G426" t="s">
        <v>81</v>
      </c>
      <c r="H426" t="s">
        <v>82</v>
      </c>
      <c r="I426" t="s">
        <v>29</v>
      </c>
      <c r="J426" t="s">
        <v>30</v>
      </c>
      <c r="K426">
        <v>389.56</v>
      </c>
      <c r="L426">
        <v>3</v>
      </c>
      <c r="M426">
        <v>0.1</v>
      </c>
      <c r="N426">
        <v>113.63</v>
      </c>
      <c r="O426" t="str">
        <f t="shared" si="6"/>
        <v>May-2024</v>
      </c>
    </row>
    <row r="427" spans="1:15" x14ac:dyDescent="0.25">
      <c r="A427" t="s">
        <v>610</v>
      </c>
      <c r="B427" s="2">
        <v>45838</v>
      </c>
      <c r="C427" s="2">
        <v>45844</v>
      </c>
      <c r="D427" t="s">
        <v>125</v>
      </c>
      <c r="E427" t="s">
        <v>80</v>
      </c>
      <c r="F427" t="s">
        <v>26</v>
      </c>
      <c r="G427" t="s">
        <v>96</v>
      </c>
      <c r="H427" t="s">
        <v>97</v>
      </c>
      <c r="I427" t="s">
        <v>40</v>
      </c>
      <c r="J427" t="s">
        <v>41</v>
      </c>
      <c r="K427">
        <v>74.08</v>
      </c>
      <c r="L427">
        <v>8</v>
      </c>
      <c r="M427">
        <v>0</v>
      </c>
      <c r="N427">
        <v>9.2799999999999994</v>
      </c>
      <c r="O427" t="str">
        <f t="shared" si="6"/>
        <v>Jun-2025</v>
      </c>
    </row>
    <row r="428" spans="1:15" x14ac:dyDescent="0.25">
      <c r="A428" t="s">
        <v>611</v>
      </c>
      <c r="B428" s="2">
        <v>45552</v>
      </c>
      <c r="C428" s="2">
        <v>45556</v>
      </c>
      <c r="D428" t="s">
        <v>32</v>
      </c>
      <c r="E428" t="s">
        <v>17</v>
      </c>
      <c r="F428" t="s">
        <v>18</v>
      </c>
      <c r="G428" t="s">
        <v>58</v>
      </c>
      <c r="H428" t="s">
        <v>59</v>
      </c>
      <c r="I428" t="s">
        <v>29</v>
      </c>
      <c r="J428" t="s">
        <v>87</v>
      </c>
      <c r="K428">
        <v>1388.12</v>
      </c>
      <c r="L428">
        <v>2</v>
      </c>
      <c r="M428">
        <v>0.1</v>
      </c>
      <c r="N428">
        <v>64.959999999999994</v>
      </c>
      <c r="O428" t="str">
        <f t="shared" si="6"/>
        <v>Sep-2024</v>
      </c>
    </row>
    <row r="429" spans="1:15" x14ac:dyDescent="0.25">
      <c r="A429" t="s">
        <v>612</v>
      </c>
      <c r="B429" s="2">
        <v>45644</v>
      </c>
      <c r="C429" s="2">
        <v>45645</v>
      </c>
      <c r="D429" t="s">
        <v>120</v>
      </c>
      <c r="E429" t="s">
        <v>25</v>
      </c>
      <c r="F429" t="s">
        <v>63</v>
      </c>
      <c r="G429" t="s">
        <v>112</v>
      </c>
      <c r="H429" t="s">
        <v>113</v>
      </c>
      <c r="I429" t="s">
        <v>40</v>
      </c>
      <c r="J429" t="s">
        <v>176</v>
      </c>
      <c r="K429">
        <v>28.39</v>
      </c>
      <c r="L429">
        <v>6</v>
      </c>
      <c r="M429">
        <v>0.3</v>
      </c>
      <c r="N429">
        <v>7.21</v>
      </c>
      <c r="O429" t="str">
        <f t="shared" si="6"/>
        <v>Dec-2024</v>
      </c>
    </row>
    <row r="430" spans="1:15" x14ac:dyDescent="0.25">
      <c r="A430" t="s">
        <v>613</v>
      </c>
      <c r="B430" s="2">
        <v>45655</v>
      </c>
      <c r="C430" s="2">
        <v>45658</v>
      </c>
      <c r="D430" t="s">
        <v>259</v>
      </c>
      <c r="E430" t="s">
        <v>25</v>
      </c>
      <c r="F430" t="s">
        <v>26</v>
      </c>
      <c r="G430" t="s">
        <v>27</v>
      </c>
      <c r="H430" t="s">
        <v>28</v>
      </c>
      <c r="I430" t="s">
        <v>21</v>
      </c>
      <c r="J430" t="s">
        <v>103</v>
      </c>
      <c r="K430">
        <v>9973.7099999999991</v>
      </c>
      <c r="L430">
        <v>8</v>
      </c>
      <c r="M430">
        <v>0.3</v>
      </c>
      <c r="N430">
        <v>2702.46</v>
      </c>
      <c r="O430" t="str">
        <f t="shared" si="6"/>
        <v>Dec-2024</v>
      </c>
    </row>
    <row r="431" spans="1:15" x14ac:dyDescent="0.25">
      <c r="A431" t="s">
        <v>614</v>
      </c>
      <c r="B431" s="2">
        <v>45440</v>
      </c>
      <c r="C431" s="2">
        <v>45447</v>
      </c>
      <c r="D431" t="s">
        <v>264</v>
      </c>
      <c r="E431" t="s">
        <v>80</v>
      </c>
      <c r="F431" t="s">
        <v>18</v>
      </c>
      <c r="G431" t="s">
        <v>58</v>
      </c>
      <c r="H431" t="s">
        <v>59</v>
      </c>
      <c r="I431" t="s">
        <v>21</v>
      </c>
      <c r="J431" t="s">
        <v>60</v>
      </c>
      <c r="K431">
        <v>316.44</v>
      </c>
      <c r="L431">
        <v>6</v>
      </c>
      <c r="M431">
        <v>0.1</v>
      </c>
      <c r="N431">
        <v>75.75</v>
      </c>
      <c r="O431" t="str">
        <f t="shared" si="6"/>
        <v>May-2024</v>
      </c>
    </row>
    <row r="432" spans="1:15" x14ac:dyDescent="0.25">
      <c r="A432" t="s">
        <v>615</v>
      </c>
      <c r="B432" s="2">
        <v>45613</v>
      </c>
      <c r="C432" s="2">
        <v>45616</v>
      </c>
      <c r="D432" t="s">
        <v>134</v>
      </c>
      <c r="E432" t="s">
        <v>17</v>
      </c>
      <c r="F432" t="s">
        <v>33</v>
      </c>
      <c r="G432" t="s">
        <v>34</v>
      </c>
      <c r="H432" t="s">
        <v>35</v>
      </c>
      <c r="I432" t="s">
        <v>29</v>
      </c>
      <c r="J432" t="s">
        <v>87</v>
      </c>
      <c r="K432">
        <v>2645.24</v>
      </c>
      <c r="L432">
        <v>5</v>
      </c>
      <c r="M432">
        <v>0.15</v>
      </c>
      <c r="N432">
        <v>89.42</v>
      </c>
      <c r="O432" t="str">
        <f t="shared" si="6"/>
        <v>Nov-2024</v>
      </c>
    </row>
    <row r="433" spans="1:15" x14ac:dyDescent="0.25">
      <c r="A433" t="s">
        <v>616</v>
      </c>
      <c r="B433" s="2">
        <v>45715</v>
      </c>
      <c r="C433" s="2">
        <v>45717</v>
      </c>
      <c r="D433" t="s">
        <v>310</v>
      </c>
      <c r="E433" t="s">
        <v>25</v>
      </c>
      <c r="F433" t="s">
        <v>63</v>
      </c>
      <c r="G433" t="s">
        <v>64</v>
      </c>
      <c r="H433" t="s">
        <v>65</v>
      </c>
      <c r="I433" t="s">
        <v>40</v>
      </c>
      <c r="J433" t="s">
        <v>176</v>
      </c>
      <c r="K433">
        <v>3.57</v>
      </c>
      <c r="L433">
        <v>1</v>
      </c>
      <c r="M433">
        <v>0</v>
      </c>
      <c r="N433">
        <v>0.96</v>
      </c>
      <c r="O433" t="str">
        <f t="shared" si="6"/>
        <v>Feb-2025</v>
      </c>
    </row>
    <row r="434" spans="1:15" x14ac:dyDescent="0.25">
      <c r="A434" t="s">
        <v>617</v>
      </c>
      <c r="B434" s="2">
        <v>45389</v>
      </c>
      <c r="C434" s="2">
        <v>45390</v>
      </c>
      <c r="D434" t="s">
        <v>136</v>
      </c>
      <c r="E434" t="s">
        <v>17</v>
      </c>
      <c r="F434" t="s">
        <v>63</v>
      </c>
      <c r="G434" t="s">
        <v>149</v>
      </c>
      <c r="H434" t="s">
        <v>150</v>
      </c>
      <c r="I434" t="s">
        <v>29</v>
      </c>
      <c r="J434" t="s">
        <v>87</v>
      </c>
      <c r="K434">
        <v>5776.12</v>
      </c>
      <c r="L434">
        <v>8</v>
      </c>
      <c r="M434">
        <v>0.15</v>
      </c>
      <c r="N434">
        <v>-248.39</v>
      </c>
      <c r="O434" t="str">
        <f t="shared" si="6"/>
        <v>Apr-2024</v>
      </c>
    </row>
    <row r="435" spans="1:15" x14ac:dyDescent="0.25">
      <c r="A435" t="s">
        <v>618</v>
      </c>
      <c r="B435" s="2">
        <v>45451</v>
      </c>
      <c r="C435" s="2">
        <v>45452</v>
      </c>
      <c r="D435" t="s">
        <v>57</v>
      </c>
      <c r="E435" t="s">
        <v>80</v>
      </c>
      <c r="F435" t="s">
        <v>33</v>
      </c>
      <c r="G435" t="s">
        <v>165</v>
      </c>
      <c r="H435" t="s">
        <v>166</v>
      </c>
      <c r="I435" t="s">
        <v>29</v>
      </c>
      <c r="J435" t="s">
        <v>55</v>
      </c>
      <c r="K435">
        <v>2943.57</v>
      </c>
      <c r="L435">
        <v>7</v>
      </c>
      <c r="M435">
        <v>0</v>
      </c>
      <c r="N435">
        <v>349.72</v>
      </c>
      <c r="O435" t="str">
        <f t="shared" si="6"/>
        <v>Jun-2024</v>
      </c>
    </row>
    <row r="436" spans="1:15" x14ac:dyDescent="0.25">
      <c r="A436" t="s">
        <v>619</v>
      </c>
      <c r="B436" s="2">
        <v>45466</v>
      </c>
      <c r="C436" s="2">
        <v>45467</v>
      </c>
      <c r="D436" t="s">
        <v>230</v>
      </c>
      <c r="E436" t="s">
        <v>80</v>
      </c>
      <c r="F436" t="s">
        <v>63</v>
      </c>
      <c r="G436" t="s">
        <v>64</v>
      </c>
      <c r="H436" t="s">
        <v>65</v>
      </c>
      <c r="I436" t="s">
        <v>21</v>
      </c>
      <c r="J436" t="s">
        <v>103</v>
      </c>
      <c r="K436">
        <v>1584.83</v>
      </c>
      <c r="L436">
        <v>6</v>
      </c>
      <c r="M436">
        <v>0.3</v>
      </c>
      <c r="N436">
        <v>514.41</v>
      </c>
      <c r="O436" t="str">
        <f t="shared" si="6"/>
        <v>Jun-2024</v>
      </c>
    </row>
    <row r="437" spans="1:15" x14ac:dyDescent="0.25">
      <c r="A437" t="s">
        <v>620</v>
      </c>
      <c r="B437" s="2">
        <v>45430</v>
      </c>
      <c r="C437" s="2">
        <v>45436</v>
      </c>
      <c r="D437" t="s">
        <v>304</v>
      </c>
      <c r="E437" t="s">
        <v>25</v>
      </c>
      <c r="F437" t="s">
        <v>33</v>
      </c>
      <c r="G437" t="s">
        <v>131</v>
      </c>
      <c r="H437" t="s">
        <v>132</v>
      </c>
      <c r="I437" t="s">
        <v>21</v>
      </c>
      <c r="J437" t="s">
        <v>60</v>
      </c>
      <c r="K437">
        <v>1064.9000000000001</v>
      </c>
      <c r="L437">
        <v>8</v>
      </c>
      <c r="M437">
        <v>0.2</v>
      </c>
      <c r="N437">
        <v>292.5</v>
      </c>
      <c r="O437" t="str">
        <f t="shared" si="6"/>
        <v>May-2024</v>
      </c>
    </row>
    <row r="438" spans="1:15" x14ac:dyDescent="0.25">
      <c r="A438" t="s">
        <v>621</v>
      </c>
      <c r="B438" s="2">
        <v>45844</v>
      </c>
      <c r="C438" s="2">
        <v>45846</v>
      </c>
      <c r="D438" t="s">
        <v>269</v>
      </c>
      <c r="E438" t="s">
        <v>25</v>
      </c>
      <c r="F438" t="s">
        <v>33</v>
      </c>
      <c r="G438" t="s">
        <v>165</v>
      </c>
      <c r="H438" t="s">
        <v>166</v>
      </c>
      <c r="I438" t="s">
        <v>21</v>
      </c>
      <c r="J438" t="s">
        <v>60</v>
      </c>
      <c r="K438">
        <v>1946.96</v>
      </c>
      <c r="L438">
        <v>8</v>
      </c>
      <c r="M438">
        <v>0</v>
      </c>
      <c r="N438">
        <v>311</v>
      </c>
      <c r="O438" t="str">
        <f t="shared" si="6"/>
        <v>Jul-2025</v>
      </c>
    </row>
    <row r="439" spans="1:15" x14ac:dyDescent="0.25">
      <c r="A439" t="s">
        <v>622</v>
      </c>
      <c r="B439" s="2">
        <v>45431</v>
      </c>
      <c r="C439" s="2">
        <v>45434</v>
      </c>
      <c r="D439" t="s">
        <v>623</v>
      </c>
      <c r="E439" t="s">
        <v>80</v>
      </c>
      <c r="F439" t="s">
        <v>63</v>
      </c>
      <c r="G439" t="s">
        <v>67</v>
      </c>
      <c r="H439" t="s">
        <v>68</v>
      </c>
      <c r="I439" t="s">
        <v>40</v>
      </c>
      <c r="J439" t="s">
        <v>48</v>
      </c>
      <c r="K439">
        <v>10.32</v>
      </c>
      <c r="L439">
        <v>1</v>
      </c>
      <c r="M439">
        <v>0.2</v>
      </c>
      <c r="N439">
        <v>3.37</v>
      </c>
      <c r="O439" t="str">
        <f t="shared" si="6"/>
        <v>May-2024</v>
      </c>
    </row>
    <row r="440" spans="1:15" x14ac:dyDescent="0.25">
      <c r="A440" t="s">
        <v>624</v>
      </c>
      <c r="B440" s="2">
        <v>45903</v>
      </c>
      <c r="C440" s="2">
        <v>45905</v>
      </c>
      <c r="D440" t="s">
        <v>212</v>
      </c>
      <c r="E440" t="s">
        <v>25</v>
      </c>
      <c r="F440" t="s">
        <v>33</v>
      </c>
      <c r="G440" t="s">
        <v>141</v>
      </c>
      <c r="H440" t="s">
        <v>142</v>
      </c>
      <c r="I440" t="s">
        <v>29</v>
      </c>
      <c r="J440" t="s">
        <v>30</v>
      </c>
      <c r="K440">
        <v>729.3</v>
      </c>
      <c r="L440">
        <v>6</v>
      </c>
      <c r="M440">
        <v>0</v>
      </c>
      <c r="N440">
        <v>126.55</v>
      </c>
      <c r="O440" t="str">
        <f t="shared" si="6"/>
        <v>Sep-2025</v>
      </c>
    </row>
    <row r="441" spans="1:15" x14ac:dyDescent="0.25">
      <c r="A441" t="s">
        <v>625</v>
      </c>
      <c r="B441" s="2">
        <v>45953</v>
      </c>
      <c r="C441" s="2">
        <v>45957</v>
      </c>
      <c r="D441" t="s">
        <v>352</v>
      </c>
      <c r="E441" t="s">
        <v>80</v>
      </c>
      <c r="F441" t="s">
        <v>33</v>
      </c>
      <c r="G441" t="s">
        <v>131</v>
      </c>
      <c r="H441" t="s">
        <v>132</v>
      </c>
      <c r="I441" t="s">
        <v>29</v>
      </c>
      <c r="J441" t="s">
        <v>87</v>
      </c>
      <c r="K441">
        <v>3050.96</v>
      </c>
      <c r="L441">
        <v>4</v>
      </c>
      <c r="M441">
        <v>0</v>
      </c>
      <c r="N441">
        <v>-121.13</v>
      </c>
      <c r="O441" t="str">
        <f t="shared" si="6"/>
        <v>Oct-2025</v>
      </c>
    </row>
    <row r="442" spans="1:15" x14ac:dyDescent="0.25">
      <c r="A442" t="s">
        <v>626</v>
      </c>
      <c r="B442" s="2">
        <v>45836</v>
      </c>
      <c r="C442" s="2">
        <v>45843</v>
      </c>
      <c r="D442" t="s">
        <v>115</v>
      </c>
      <c r="E442" t="s">
        <v>80</v>
      </c>
      <c r="F442" t="s">
        <v>26</v>
      </c>
      <c r="G442" t="s">
        <v>27</v>
      </c>
      <c r="H442" t="s">
        <v>28</v>
      </c>
      <c r="I442" t="s">
        <v>21</v>
      </c>
      <c r="J442" t="s">
        <v>60</v>
      </c>
      <c r="K442">
        <v>246.29</v>
      </c>
      <c r="L442">
        <v>4</v>
      </c>
      <c r="M442">
        <v>0.3</v>
      </c>
      <c r="N442">
        <v>17.37</v>
      </c>
      <c r="O442" t="str">
        <f t="shared" si="6"/>
        <v>Jun-2025</v>
      </c>
    </row>
    <row r="443" spans="1:15" x14ac:dyDescent="0.25">
      <c r="A443" t="s">
        <v>627</v>
      </c>
      <c r="B443" s="2">
        <v>45570</v>
      </c>
      <c r="C443" s="2">
        <v>45576</v>
      </c>
      <c r="D443" t="s">
        <v>314</v>
      </c>
      <c r="E443" t="s">
        <v>25</v>
      </c>
      <c r="F443" t="s">
        <v>26</v>
      </c>
      <c r="G443" t="s">
        <v>75</v>
      </c>
      <c r="H443" t="s">
        <v>76</v>
      </c>
      <c r="I443" t="s">
        <v>29</v>
      </c>
      <c r="J443" t="s">
        <v>30</v>
      </c>
      <c r="K443">
        <v>388.76</v>
      </c>
      <c r="L443">
        <v>4</v>
      </c>
      <c r="M443">
        <v>0</v>
      </c>
      <c r="N443">
        <v>21.7</v>
      </c>
      <c r="O443" t="str">
        <f t="shared" si="6"/>
        <v>Oct-2024</v>
      </c>
    </row>
    <row r="444" spans="1:15" x14ac:dyDescent="0.25">
      <c r="A444" t="s">
        <v>628</v>
      </c>
      <c r="B444" s="2">
        <v>45567</v>
      </c>
      <c r="C444" s="2">
        <v>45569</v>
      </c>
      <c r="D444" t="s">
        <v>393</v>
      </c>
      <c r="E444" t="s">
        <v>25</v>
      </c>
      <c r="F444" t="s">
        <v>18</v>
      </c>
      <c r="G444" t="s">
        <v>71</v>
      </c>
      <c r="H444" t="s">
        <v>72</v>
      </c>
      <c r="I444" t="s">
        <v>29</v>
      </c>
      <c r="J444" t="s">
        <v>87</v>
      </c>
      <c r="K444">
        <v>672.16</v>
      </c>
      <c r="L444">
        <v>1</v>
      </c>
      <c r="M444">
        <v>0</v>
      </c>
      <c r="N444">
        <v>-25.73</v>
      </c>
      <c r="O444" t="str">
        <f t="shared" si="6"/>
        <v>Oct-2024</v>
      </c>
    </row>
    <row r="445" spans="1:15" x14ac:dyDescent="0.25">
      <c r="A445" t="s">
        <v>629</v>
      </c>
      <c r="B445" s="2">
        <v>45802</v>
      </c>
      <c r="C445" s="2">
        <v>45805</v>
      </c>
      <c r="D445" t="s">
        <v>328</v>
      </c>
      <c r="E445" t="s">
        <v>25</v>
      </c>
      <c r="F445" t="s">
        <v>18</v>
      </c>
      <c r="G445" t="s">
        <v>58</v>
      </c>
      <c r="H445" t="s">
        <v>59</v>
      </c>
      <c r="I445" t="s">
        <v>29</v>
      </c>
      <c r="J445" t="s">
        <v>77</v>
      </c>
      <c r="K445">
        <v>280.11</v>
      </c>
      <c r="L445">
        <v>1</v>
      </c>
      <c r="M445">
        <v>0</v>
      </c>
      <c r="N445">
        <v>-11.08</v>
      </c>
      <c r="O445" t="str">
        <f t="shared" si="6"/>
        <v>May-2025</v>
      </c>
    </row>
    <row r="446" spans="1:15" x14ac:dyDescent="0.25">
      <c r="A446" t="s">
        <v>630</v>
      </c>
      <c r="B446" s="2">
        <v>45773</v>
      </c>
      <c r="C446" s="2">
        <v>45775</v>
      </c>
      <c r="D446" t="s">
        <v>255</v>
      </c>
      <c r="E446" t="s">
        <v>80</v>
      </c>
      <c r="F446" t="s">
        <v>26</v>
      </c>
      <c r="G446" t="s">
        <v>51</v>
      </c>
      <c r="H446" t="s">
        <v>52</v>
      </c>
      <c r="I446" t="s">
        <v>40</v>
      </c>
      <c r="J446" t="s">
        <v>109</v>
      </c>
      <c r="K446">
        <v>39.299999999999997</v>
      </c>
      <c r="L446">
        <v>5</v>
      </c>
      <c r="M446">
        <v>0.3</v>
      </c>
      <c r="N446">
        <v>6.46</v>
      </c>
      <c r="O446" t="str">
        <f t="shared" si="6"/>
        <v>Apr-2025</v>
      </c>
    </row>
    <row r="447" spans="1:15" x14ac:dyDescent="0.25">
      <c r="A447" t="s">
        <v>631</v>
      </c>
      <c r="B447" s="2">
        <v>45545</v>
      </c>
      <c r="C447" s="2">
        <v>45551</v>
      </c>
      <c r="D447" t="s">
        <v>45</v>
      </c>
      <c r="E447" t="s">
        <v>25</v>
      </c>
      <c r="F447" t="s">
        <v>18</v>
      </c>
      <c r="G447" t="s">
        <v>19</v>
      </c>
      <c r="H447" t="s">
        <v>20</v>
      </c>
      <c r="I447" t="s">
        <v>21</v>
      </c>
      <c r="J447" t="s">
        <v>103</v>
      </c>
      <c r="K447">
        <v>8956.73</v>
      </c>
      <c r="L447">
        <v>4</v>
      </c>
      <c r="M447">
        <v>0.1</v>
      </c>
      <c r="N447">
        <v>2423.66</v>
      </c>
      <c r="O447" t="str">
        <f t="shared" si="6"/>
        <v>Sep-2024</v>
      </c>
    </row>
    <row r="448" spans="1:15" x14ac:dyDescent="0.25">
      <c r="A448" t="s">
        <v>632</v>
      </c>
      <c r="B448" s="2">
        <v>45989</v>
      </c>
      <c r="C448" s="2">
        <v>45992</v>
      </c>
      <c r="D448" t="s">
        <v>223</v>
      </c>
      <c r="E448" t="s">
        <v>25</v>
      </c>
      <c r="F448" t="s">
        <v>18</v>
      </c>
      <c r="G448" t="s">
        <v>71</v>
      </c>
      <c r="H448" t="s">
        <v>72</v>
      </c>
      <c r="I448" t="s">
        <v>21</v>
      </c>
      <c r="J448" t="s">
        <v>103</v>
      </c>
      <c r="K448">
        <v>5663.21</v>
      </c>
      <c r="L448">
        <v>3</v>
      </c>
      <c r="M448">
        <v>0.2</v>
      </c>
      <c r="N448">
        <v>1520.41</v>
      </c>
      <c r="O448" t="str">
        <f t="shared" si="6"/>
        <v>Nov-2025</v>
      </c>
    </row>
    <row r="449" spans="1:15" x14ac:dyDescent="0.25">
      <c r="A449" t="s">
        <v>633</v>
      </c>
      <c r="B449" s="2">
        <v>45345</v>
      </c>
      <c r="C449" s="2">
        <v>45352</v>
      </c>
      <c r="D449" t="s">
        <v>544</v>
      </c>
      <c r="E449" t="s">
        <v>25</v>
      </c>
      <c r="F449" t="s">
        <v>18</v>
      </c>
      <c r="G449" t="s">
        <v>81</v>
      </c>
      <c r="H449" t="s">
        <v>82</v>
      </c>
      <c r="I449" t="s">
        <v>40</v>
      </c>
      <c r="J449" t="s">
        <v>98</v>
      </c>
      <c r="K449">
        <v>273.33999999999997</v>
      </c>
      <c r="L449">
        <v>2</v>
      </c>
      <c r="M449">
        <v>0</v>
      </c>
      <c r="N449">
        <v>65.569999999999993</v>
      </c>
      <c r="O449" t="str">
        <f t="shared" si="6"/>
        <v>Feb-2024</v>
      </c>
    </row>
    <row r="450" spans="1:15" x14ac:dyDescent="0.25">
      <c r="A450" t="s">
        <v>634</v>
      </c>
      <c r="B450" s="2">
        <v>45697</v>
      </c>
      <c r="C450" s="2">
        <v>45704</v>
      </c>
      <c r="D450" t="s">
        <v>84</v>
      </c>
      <c r="E450" t="s">
        <v>17</v>
      </c>
      <c r="F450" t="s">
        <v>63</v>
      </c>
      <c r="G450" t="s">
        <v>149</v>
      </c>
      <c r="H450" t="s">
        <v>150</v>
      </c>
      <c r="I450" t="s">
        <v>29</v>
      </c>
      <c r="J450" t="s">
        <v>77</v>
      </c>
      <c r="K450">
        <v>161.22</v>
      </c>
      <c r="L450">
        <v>1</v>
      </c>
      <c r="M450">
        <v>0.15</v>
      </c>
      <c r="N450">
        <v>8.36</v>
      </c>
      <c r="O450" t="str">
        <f t="shared" ref="O450:O513" si="7">TEXT(B450,"mmm-yyyy")</f>
        <v>Feb-2025</v>
      </c>
    </row>
    <row r="451" spans="1:15" x14ac:dyDescent="0.25">
      <c r="A451" t="s">
        <v>635</v>
      </c>
      <c r="B451" s="2">
        <v>45546</v>
      </c>
      <c r="C451" s="2">
        <v>45548</v>
      </c>
      <c r="D451" t="s">
        <v>146</v>
      </c>
      <c r="E451" t="s">
        <v>17</v>
      </c>
      <c r="F451" t="s">
        <v>33</v>
      </c>
      <c r="G451" t="s">
        <v>165</v>
      </c>
      <c r="H451" t="s">
        <v>166</v>
      </c>
      <c r="I451" t="s">
        <v>29</v>
      </c>
      <c r="J451" t="s">
        <v>77</v>
      </c>
      <c r="K451">
        <v>1238.8699999999999</v>
      </c>
      <c r="L451">
        <v>6</v>
      </c>
      <c r="M451">
        <v>0.3</v>
      </c>
      <c r="N451">
        <v>38.74</v>
      </c>
      <c r="O451" t="str">
        <f t="shared" si="7"/>
        <v>Sep-2024</v>
      </c>
    </row>
    <row r="452" spans="1:15" x14ac:dyDescent="0.25">
      <c r="A452" t="s">
        <v>636</v>
      </c>
      <c r="B452" s="2">
        <v>45401</v>
      </c>
      <c r="C452" s="2">
        <v>45403</v>
      </c>
      <c r="D452" t="s">
        <v>164</v>
      </c>
      <c r="E452" t="s">
        <v>80</v>
      </c>
      <c r="F452" t="s">
        <v>18</v>
      </c>
      <c r="G452" t="s">
        <v>81</v>
      </c>
      <c r="H452" t="s">
        <v>82</v>
      </c>
      <c r="I452" t="s">
        <v>21</v>
      </c>
      <c r="J452" t="s">
        <v>103</v>
      </c>
      <c r="K452">
        <v>7003.57</v>
      </c>
      <c r="L452">
        <v>6</v>
      </c>
      <c r="M452">
        <v>0.15</v>
      </c>
      <c r="N452">
        <v>2007</v>
      </c>
      <c r="O452" t="str">
        <f t="shared" si="7"/>
        <v>Apr-2024</v>
      </c>
    </row>
    <row r="453" spans="1:15" x14ac:dyDescent="0.25">
      <c r="A453" t="s">
        <v>637</v>
      </c>
      <c r="B453" s="2">
        <v>45678</v>
      </c>
      <c r="C453" s="2">
        <v>45681</v>
      </c>
      <c r="D453" t="s">
        <v>140</v>
      </c>
      <c r="E453" t="s">
        <v>80</v>
      </c>
      <c r="F453" t="s">
        <v>63</v>
      </c>
      <c r="G453" t="s">
        <v>64</v>
      </c>
      <c r="H453" t="s">
        <v>65</v>
      </c>
      <c r="I453" t="s">
        <v>21</v>
      </c>
      <c r="J453" t="s">
        <v>103</v>
      </c>
      <c r="K453">
        <v>9468.4</v>
      </c>
      <c r="L453">
        <v>5</v>
      </c>
      <c r="M453">
        <v>0</v>
      </c>
      <c r="N453">
        <v>1851.93</v>
      </c>
      <c r="O453" t="str">
        <f t="shared" si="7"/>
        <v>Jan-2025</v>
      </c>
    </row>
    <row r="454" spans="1:15" x14ac:dyDescent="0.25">
      <c r="A454" t="s">
        <v>638</v>
      </c>
      <c r="B454" s="2">
        <v>45486</v>
      </c>
      <c r="C454" s="2">
        <v>45491</v>
      </c>
      <c r="D454" t="s">
        <v>164</v>
      </c>
      <c r="E454" t="s">
        <v>25</v>
      </c>
      <c r="F454" t="s">
        <v>33</v>
      </c>
      <c r="G454" t="s">
        <v>165</v>
      </c>
      <c r="H454" t="s">
        <v>166</v>
      </c>
      <c r="I454" t="s">
        <v>40</v>
      </c>
      <c r="J454" t="s">
        <v>176</v>
      </c>
      <c r="K454">
        <v>21.66</v>
      </c>
      <c r="L454">
        <v>6</v>
      </c>
      <c r="M454">
        <v>0</v>
      </c>
      <c r="N454">
        <v>5.84</v>
      </c>
      <c r="O454" t="str">
        <f t="shared" si="7"/>
        <v>Jul-2024</v>
      </c>
    </row>
    <row r="455" spans="1:15" x14ac:dyDescent="0.25">
      <c r="A455" t="s">
        <v>639</v>
      </c>
      <c r="B455" s="2">
        <v>45450</v>
      </c>
      <c r="C455" s="2">
        <v>45454</v>
      </c>
      <c r="D455" t="s">
        <v>95</v>
      </c>
      <c r="E455" t="s">
        <v>80</v>
      </c>
      <c r="F455" t="s">
        <v>63</v>
      </c>
      <c r="G455" t="s">
        <v>106</v>
      </c>
      <c r="H455" t="s">
        <v>107</v>
      </c>
      <c r="I455" t="s">
        <v>21</v>
      </c>
      <c r="J455" t="s">
        <v>103</v>
      </c>
      <c r="K455">
        <v>4039.54</v>
      </c>
      <c r="L455">
        <v>5</v>
      </c>
      <c r="M455">
        <v>0.15</v>
      </c>
      <c r="N455">
        <v>646.87</v>
      </c>
      <c r="O455" t="str">
        <f t="shared" si="7"/>
        <v>Jun-2024</v>
      </c>
    </row>
    <row r="456" spans="1:15" x14ac:dyDescent="0.25">
      <c r="A456" t="s">
        <v>640</v>
      </c>
      <c r="B456" s="2">
        <v>45664</v>
      </c>
      <c r="C456" s="2">
        <v>45671</v>
      </c>
      <c r="D456" t="s">
        <v>140</v>
      </c>
      <c r="E456" t="s">
        <v>80</v>
      </c>
      <c r="F456" t="s">
        <v>18</v>
      </c>
      <c r="G456" t="s">
        <v>71</v>
      </c>
      <c r="H456" t="s">
        <v>72</v>
      </c>
      <c r="I456" t="s">
        <v>40</v>
      </c>
      <c r="J456" t="s">
        <v>41</v>
      </c>
      <c r="K456">
        <v>78.05</v>
      </c>
      <c r="L456">
        <v>6</v>
      </c>
      <c r="M456">
        <v>0.2</v>
      </c>
      <c r="N456">
        <v>5.39</v>
      </c>
      <c r="O456" t="str">
        <f t="shared" si="7"/>
        <v>Jan-2025</v>
      </c>
    </row>
    <row r="457" spans="1:15" x14ac:dyDescent="0.25">
      <c r="A457" t="s">
        <v>641</v>
      </c>
      <c r="B457" s="2">
        <v>45449</v>
      </c>
      <c r="C457" s="2">
        <v>45454</v>
      </c>
      <c r="D457" t="s">
        <v>146</v>
      </c>
      <c r="E457" t="s">
        <v>80</v>
      </c>
      <c r="F457" t="s">
        <v>33</v>
      </c>
      <c r="G457" t="s">
        <v>38</v>
      </c>
      <c r="H457" t="s">
        <v>39</v>
      </c>
      <c r="I457" t="s">
        <v>21</v>
      </c>
      <c r="J457" t="s">
        <v>123</v>
      </c>
      <c r="K457">
        <v>3255.39</v>
      </c>
      <c r="L457">
        <v>7</v>
      </c>
      <c r="M457">
        <v>0.2</v>
      </c>
      <c r="N457">
        <v>-26.49</v>
      </c>
      <c r="O457" t="str">
        <f t="shared" si="7"/>
        <v>Jun-2024</v>
      </c>
    </row>
    <row r="458" spans="1:15" x14ac:dyDescent="0.25">
      <c r="A458" t="s">
        <v>642</v>
      </c>
      <c r="B458" s="2">
        <v>45474</v>
      </c>
      <c r="C458" s="2">
        <v>45481</v>
      </c>
      <c r="D458" t="s">
        <v>373</v>
      </c>
      <c r="E458" t="s">
        <v>17</v>
      </c>
      <c r="F458" t="s">
        <v>18</v>
      </c>
      <c r="G458" t="s">
        <v>71</v>
      </c>
      <c r="H458" t="s">
        <v>72</v>
      </c>
      <c r="I458" t="s">
        <v>21</v>
      </c>
      <c r="J458" t="s">
        <v>22</v>
      </c>
      <c r="K458">
        <v>137.84</v>
      </c>
      <c r="L458">
        <v>2</v>
      </c>
      <c r="M458">
        <v>0.1</v>
      </c>
      <c r="N458">
        <v>14.82</v>
      </c>
      <c r="O458" t="str">
        <f t="shared" si="7"/>
        <v>Jul-2024</v>
      </c>
    </row>
    <row r="459" spans="1:15" x14ac:dyDescent="0.25">
      <c r="A459" t="s">
        <v>643</v>
      </c>
      <c r="B459" s="2">
        <v>45830</v>
      </c>
      <c r="C459" s="2">
        <v>45835</v>
      </c>
      <c r="D459" t="s">
        <v>249</v>
      </c>
      <c r="E459" t="s">
        <v>25</v>
      </c>
      <c r="F459" t="s">
        <v>18</v>
      </c>
      <c r="G459" t="s">
        <v>71</v>
      </c>
      <c r="H459" t="s">
        <v>72</v>
      </c>
      <c r="I459" t="s">
        <v>21</v>
      </c>
      <c r="J459" t="s">
        <v>123</v>
      </c>
      <c r="K459">
        <v>6461.15</v>
      </c>
      <c r="L459">
        <v>5</v>
      </c>
      <c r="M459">
        <v>0</v>
      </c>
      <c r="N459">
        <v>-15.34</v>
      </c>
      <c r="O459" t="str">
        <f t="shared" si="7"/>
        <v>Jun-2025</v>
      </c>
    </row>
    <row r="460" spans="1:15" x14ac:dyDescent="0.25">
      <c r="A460" t="s">
        <v>644</v>
      </c>
      <c r="B460" s="2">
        <v>45771</v>
      </c>
      <c r="C460" s="2">
        <v>45778</v>
      </c>
      <c r="D460" t="s">
        <v>122</v>
      </c>
      <c r="E460" t="s">
        <v>17</v>
      </c>
      <c r="F460" t="s">
        <v>18</v>
      </c>
      <c r="G460" t="s">
        <v>19</v>
      </c>
      <c r="H460" t="s">
        <v>20</v>
      </c>
      <c r="I460" t="s">
        <v>29</v>
      </c>
      <c r="J460" t="s">
        <v>30</v>
      </c>
      <c r="K460">
        <v>507.2</v>
      </c>
      <c r="L460">
        <v>6</v>
      </c>
      <c r="M460">
        <v>0.15</v>
      </c>
      <c r="N460">
        <v>138.49</v>
      </c>
      <c r="O460" t="str">
        <f t="shared" si="7"/>
        <v>Apr-2025</v>
      </c>
    </row>
    <row r="461" spans="1:15" x14ac:dyDescent="0.25">
      <c r="A461" t="s">
        <v>645</v>
      </c>
      <c r="B461" s="2">
        <v>45564</v>
      </c>
      <c r="C461" s="2">
        <v>45569</v>
      </c>
      <c r="D461" t="s">
        <v>197</v>
      </c>
      <c r="E461" t="s">
        <v>80</v>
      </c>
      <c r="F461" t="s">
        <v>33</v>
      </c>
      <c r="G461" t="s">
        <v>141</v>
      </c>
      <c r="H461" t="s">
        <v>142</v>
      </c>
      <c r="I461" t="s">
        <v>21</v>
      </c>
      <c r="J461" t="s">
        <v>22</v>
      </c>
      <c r="K461">
        <v>118.38</v>
      </c>
      <c r="L461">
        <v>2</v>
      </c>
      <c r="M461">
        <v>0.3</v>
      </c>
      <c r="N461">
        <v>16.71</v>
      </c>
      <c r="O461" t="str">
        <f t="shared" si="7"/>
        <v>Sep-2024</v>
      </c>
    </row>
    <row r="462" spans="1:15" x14ac:dyDescent="0.25">
      <c r="A462" t="s">
        <v>646</v>
      </c>
      <c r="B462" s="2">
        <v>45836</v>
      </c>
      <c r="C462" s="2">
        <v>45840</v>
      </c>
      <c r="D462" t="s">
        <v>105</v>
      </c>
      <c r="E462" t="s">
        <v>17</v>
      </c>
      <c r="F462" t="s">
        <v>26</v>
      </c>
      <c r="G462" t="s">
        <v>27</v>
      </c>
      <c r="H462" t="s">
        <v>28</v>
      </c>
      <c r="I462" t="s">
        <v>29</v>
      </c>
      <c r="J462" t="s">
        <v>55</v>
      </c>
      <c r="K462">
        <v>606.97</v>
      </c>
      <c r="L462">
        <v>4</v>
      </c>
      <c r="M462">
        <v>0.15</v>
      </c>
      <c r="N462">
        <v>144.21</v>
      </c>
      <c r="O462" t="str">
        <f t="shared" si="7"/>
        <v>Jun-2025</v>
      </c>
    </row>
    <row r="463" spans="1:15" x14ac:dyDescent="0.25">
      <c r="A463" t="s">
        <v>647</v>
      </c>
      <c r="B463" s="2">
        <v>45945</v>
      </c>
      <c r="C463" s="2">
        <v>45950</v>
      </c>
      <c r="D463" t="s">
        <v>50</v>
      </c>
      <c r="E463" t="s">
        <v>17</v>
      </c>
      <c r="F463" t="s">
        <v>26</v>
      </c>
      <c r="G463" t="s">
        <v>27</v>
      </c>
      <c r="H463" t="s">
        <v>28</v>
      </c>
      <c r="I463" t="s">
        <v>21</v>
      </c>
      <c r="J463" t="s">
        <v>123</v>
      </c>
      <c r="K463">
        <v>4534.66</v>
      </c>
      <c r="L463">
        <v>8</v>
      </c>
      <c r="M463">
        <v>0.2</v>
      </c>
      <c r="N463">
        <v>165.43</v>
      </c>
      <c r="O463" t="str">
        <f t="shared" si="7"/>
        <v>Oct-2025</v>
      </c>
    </row>
    <row r="464" spans="1:15" x14ac:dyDescent="0.25">
      <c r="A464" t="s">
        <v>648</v>
      </c>
      <c r="B464" s="2">
        <v>45965</v>
      </c>
      <c r="C464" s="2">
        <v>45967</v>
      </c>
      <c r="D464" t="s">
        <v>74</v>
      </c>
      <c r="E464" t="s">
        <v>25</v>
      </c>
      <c r="F464" t="s">
        <v>18</v>
      </c>
      <c r="G464" t="s">
        <v>46</v>
      </c>
      <c r="H464" t="s">
        <v>47</v>
      </c>
      <c r="I464" t="s">
        <v>29</v>
      </c>
      <c r="J464" t="s">
        <v>30</v>
      </c>
      <c r="K464">
        <v>678</v>
      </c>
      <c r="L464">
        <v>8</v>
      </c>
      <c r="M464">
        <v>0</v>
      </c>
      <c r="N464">
        <v>217.47</v>
      </c>
      <c r="O464" t="str">
        <f t="shared" si="7"/>
        <v>Nov-2025</v>
      </c>
    </row>
    <row r="465" spans="1:15" x14ac:dyDescent="0.25">
      <c r="A465" t="s">
        <v>649</v>
      </c>
      <c r="B465" s="2">
        <v>45623</v>
      </c>
      <c r="C465" s="2">
        <v>45628</v>
      </c>
      <c r="D465" t="s">
        <v>197</v>
      </c>
      <c r="E465" t="s">
        <v>80</v>
      </c>
      <c r="F465" t="s">
        <v>63</v>
      </c>
      <c r="G465" t="s">
        <v>112</v>
      </c>
      <c r="H465" t="s">
        <v>113</v>
      </c>
      <c r="I465" t="s">
        <v>40</v>
      </c>
      <c r="J465" t="s">
        <v>109</v>
      </c>
      <c r="K465">
        <v>48.78</v>
      </c>
      <c r="L465">
        <v>4</v>
      </c>
      <c r="M465">
        <v>0.1</v>
      </c>
      <c r="N465">
        <v>13.64</v>
      </c>
      <c r="O465" t="str">
        <f t="shared" si="7"/>
        <v>Nov-2024</v>
      </c>
    </row>
    <row r="466" spans="1:15" x14ac:dyDescent="0.25">
      <c r="A466" t="s">
        <v>650</v>
      </c>
      <c r="B466" s="2">
        <v>45327</v>
      </c>
      <c r="C466" s="2">
        <v>45330</v>
      </c>
      <c r="D466" t="s">
        <v>136</v>
      </c>
      <c r="E466" t="s">
        <v>17</v>
      </c>
      <c r="F466" t="s">
        <v>63</v>
      </c>
      <c r="G466" t="s">
        <v>112</v>
      </c>
      <c r="H466" t="s">
        <v>113</v>
      </c>
      <c r="I466" t="s">
        <v>40</v>
      </c>
      <c r="J466" t="s">
        <v>109</v>
      </c>
      <c r="K466">
        <v>91.8</v>
      </c>
      <c r="L466">
        <v>3</v>
      </c>
      <c r="M466">
        <v>0</v>
      </c>
      <c r="N466">
        <v>4.7699999999999996</v>
      </c>
      <c r="O466" t="str">
        <f t="shared" si="7"/>
        <v>Feb-2024</v>
      </c>
    </row>
    <row r="467" spans="1:15" x14ac:dyDescent="0.25">
      <c r="A467" t="s">
        <v>651</v>
      </c>
      <c r="B467" s="2">
        <v>45574</v>
      </c>
      <c r="C467" s="2">
        <v>45579</v>
      </c>
      <c r="D467" t="s">
        <v>146</v>
      </c>
      <c r="E467" t="s">
        <v>80</v>
      </c>
      <c r="F467" t="s">
        <v>26</v>
      </c>
      <c r="G467" t="s">
        <v>90</v>
      </c>
      <c r="H467" t="s">
        <v>91</v>
      </c>
      <c r="I467" t="s">
        <v>40</v>
      </c>
      <c r="J467" t="s">
        <v>48</v>
      </c>
      <c r="K467">
        <v>64.290000000000006</v>
      </c>
      <c r="L467">
        <v>3</v>
      </c>
      <c r="M467">
        <v>0</v>
      </c>
      <c r="N467">
        <v>3.94</v>
      </c>
      <c r="O467" t="str">
        <f t="shared" si="7"/>
        <v>Oct-2024</v>
      </c>
    </row>
    <row r="468" spans="1:15" x14ac:dyDescent="0.25">
      <c r="A468" t="s">
        <v>652</v>
      </c>
      <c r="B468" s="2">
        <v>45547</v>
      </c>
      <c r="C468" s="2">
        <v>45549</v>
      </c>
      <c r="D468" t="s">
        <v>275</v>
      </c>
      <c r="E468" t="s">
        <v>80</v>
      </c>
      <c r="F468" t="s">
        <v>63</v>
      </c>
      <c r="G468" t="s">
        <v>67</v>
      </c>
      <c r="H468" t="s">
        <v>68</v>
      </c>
      <c r="I468" t="s">
        <v>29</v>
      </c>
      <c r="J468" t="s">
        <v>77</v>
      </c>
      <c r="K468">
        <v>975.3</v>
      </c>
      <c r="L468">
        <v>5</v>
      </c>
      <c r="M468">
        <v>0</v>
      </c>
      <c r="N468">
        <v>23.57</v>
      </c>
      <c r="O468" t="str">
        <f t="shared" si="7"/>
        <v>Sep-2024</v>
      </c>
    </row>
    <row r="469" spans="1:15" x14ac:dyDescent="0.25">
      <c r="A469" t="s">
        <v>653</v>
      </c>
      <c r="B469" s="2">
        <v>45469</v>
      </c>
      <c r="C469" s="2">
        <v>45473</v>
      </c>
      <c r="D469" t="s">
        <v>208</v>
      </c>
      <c r="E469" t="s">
        <v>25</v>
      </c>
      <c r="F469" t="s">
        <v>26</v>
      </c>
      <c r="G469" t="s">
        <v>51</v>
      </c>
      <c r="H469" t="s">
        <v>52</v>
      </c>
      <c r="I469" t="s">
        <v>21</v>
      </c>
      <c r="J469" t="s">
        <v>60</v>
      </c>
      <c r="K469">
        <v>424.06</v>
      </c>
      <c r="L469">
        <v>2</v>
      </c>
      <c r="M469">
        <v>0.15</v>
      </c>
      <c r="N469">
        <v>102.91</v>
      </c>
      <c r="O469" t="str">
        <f t="shared" si="7"/>
        <v>Jun-2024</v>
      </c>
    </row>
    <row r="470" spans="1:15" x14ac:dyDescent="0.25">
      <c r="A470" t="s">
        <v>654</v>
      </c>
      <c r="B470" s="2">
        <v>45634</v>
      </c>
      <c r="C470" s="2">
        <v>45637</v>
      </c>
      <c r="D470" t="s">
        <v>259</v>
      </c>
      <c r="E470" t="s">
        <v>17</v>
      </c>
      <c r="F470" t="s">
        <v>18</v>
      </c>
      <c r="G470" t="s">
        <v>71</v>
      </c>
      <c r="H470" t="s">
        <v>72</v>
      </c>
      <c r="I470" t="s">
        <v>40</v>
      </c>
      <c r="J470" t="s">
        <v>48</v>
      </c>
      <c r="K470">
        <v>223.21</v>
      </c>
      <c r="L470">
        <v>7</v>
      </c>
      <c r="M470">
        <v>0.1</v>
      </c>
      <c r="N470">
        <v>73.45</v>
      </c>
      <c r="O470" t="str">
        <f t="shared" si="7"/>
        <v>Dec-2024</v>
      </c>
    </row>
    <row r="471" spans="1:15" x14ac:dyDescent="0.25">
      <c r="A471" t="s">
        <v>655</v>
      </c>
      <c r="B471" s="2">
        <v>45683</v>
      </c>
      <c r="C471" s="2">
        <v>45684</v>
      </c>
      <c r="D471" t="s">
        <v>186</v>
      </c>
      <c r="E471" t="s">
        <v>80</v>
      </c>
      <c r="F471" t="s">
        <v>18</v>
      </c>
      <c r="G471" t="s">
        <v>46</v>
      </c>
      <c r="H471" t="s">
        <v>47</v>
      </c>
      <c r="I471" t="s">
        <v>21</v>
      </c>
      <c r="J471" t="s">
        <v>22</v>
      </c>
      <c r="K471">
        <v>309.07</v>
      </c>
      <c r="L471">
        <v>1</v>
      </c>
      <c r="M471">
        <v>0</v>
      </c>
      <c r="N471">
        <v>65.52</v>
      </c>
      <c r="O471" t="str">
        <f t="shared" si="7"/>
        <v>Jan-2025</v>
      </c>
    </row>
    <row r="472" spans="1:15" x14ac:dyDescent="0.25">
      <c r="A472" t="s">
        <v>656</v>
      </c>
      <c r="B472" s="2">
        <v>45981</v>
      </c>
      <c r="C472" s="2">
        <v>45987</v>
      </c>
      <c r="D472" t="s">
        <v>127</v>
      </c>
      <c r="E472" t="s">
        <v>17</v>
      </c>
      <c r="F472" t="s">
        <v>26</v>
      </c>
      <c r="G472" t="s">
        <v>75</v>
      </c>
      <c r="H472" t="s">
        <v>76</v>
      </c>
      <c r="I472" t="s">
        <v>21</v>
      </c>
      <c r="J472" t="s">
        <v>103</v>
      </c>
      <c r="K472">
        <v>13967.58</v>
      </c>
      <c r="L472">
        <v>8</v>
      </c>
      <c r="M472">
        <v>0.3</v>
      </c>
      <c r="N472">
        <v>3192.15</v>
      </c>
      <c r="O472" t="str">
        <f t="shared" si="7"/>
        <v>Nov-2025</v>
      </c>
    </row>
    <row r="473" spans="1:15" x14ac:dyDescent="0.25">
      <c r="A473" t="s">
        <v>657</v>
      </c>
      <c r="B473" s="2">
        <v>45443</v>
      </c>
      <c r="C473" s="2">
        <v>45445</v>
      </c>
      <c r="D473" t="s">
        <v>111</v>
      </c>
      <c r="E473" t="s">
        <v>25</v>
      </c>
      <c r="F473" t="s">
        <v>18</v>
      </c>
      <c r="G473" t="s">
        <v>46</v>
      </c>
      <c r="H473" t="s">
        <v>47</v>
      </c>
      <c r="I473" t="s">
        <v>40</v>
      </c>
      <c r="J473" t="s">
        <v>98</v>
      </c>
      <c r="K473">
        <v>502.32</v>
      </c>
      <c r="L473">
        <v>8</v>
      </c>
      <c r="M473">
        <v>0.15</v>
      </c>
      <c r="N473">
        <v>137.43</v>
      </c>
      <c r="O473" t="str">
        <f t="shared" si="7"/>
        <v>May-2024</v>
      </c>
    </row>
    <row r="474" spans="1:15" x14ac:dyDescent="0.25">
      <c r="A474" t="s">
        <v>658</v>
      </c>
      <c r="B474" s="2">
        <v>46006</v>
      </c>
      <c r="C474" s="2">
        <v>46008</v>
      </c>
      <c r="D474" t="s">
        <v>74</v>
      </c>
      <c r="E474" t="s">
        <v>25</v>
      </c>
      <c r="F474" t="s">
        <v>33</v>
      </c>
      <c r="G474" t="s">
        <v>141</v>
      </c>
      <c r="H474" t="s">
        <v>142</v>
      </c>
      <c r="I474" t="s">
        <v>29</v>
      </c>
      <c r="J474" t="s">
        <v>30</v>
      </c>
      <c r="K474">
        <v>793.42</v>
      </c>
      <c r="L474">
        <v>8</v>
      </c>
      <c r="M474">
        <v>0.15</v>
      </c>
      <c r="N474">
        <v>86.83</v>
      </c>
      <c r="O474" t="str">
        <f t="shared" si="7"/>
        <v>Dec-2025</v>
      </c>
    </row>
    <row r="475" spans="1:15" x14ac:dyDescent="0.25">
      <c r="A475" t="s">
        <v>659</v>
      </c>
      <c r="B475" s="2">
        <v>45564</v>
      </c>
      <c r="C475" s="2">
        <v>45571</v>
      </c>
      <c r="D475" t="s">
        <v>24</v>
      </c>
      <c r="E475" t="s">
        <v>17</v>
      </c>
      <c r="F475" t="s">
        <v>33</v>
      </c>
      <c r="G475" t="s">
        <v>165</v>
      </c>
      <c r="H475" t="s">
        <v>166</v>
      </c>
      <c r="I475" t="s">
        <v>29</v>
      </c>
      <c r="J475" t="s">
        <v>87</v>
      </c>
      <c r="K475">
        <v>888.1</v>
      </c>
      <c r="L475">
        <v>2</v>
      </c>
      <c r="M475">
        <v>0</v>
      </c>
      <c r="N475">
        <v>33.15</v>
      </c>
      <c r="O475" t="str">
        <f t="shared" si="7"/>
        <v>Sep-2024</v>
      </c>
    </row>
    <row r="476" spans="1:15" x14ac:dyDescent="0.25">
      <c r="A476" t="s">
        <v>660</v>
      </c>
      <c r="B476" s="2">
        <v>45900</v>
      </c>
      <c r="C476" s="2">
        <v>45906</v>
      </c>
      <c r="D476" t="s">
        <v>138</v>
      </c>
      <c r="E476" t="s">
        <v>25</v>
      </c>
      <c r="F476" t="s">
        <v>33</v>
      </c>
      <c r="G476" t="s">
        <v>141</v>
      </c>
      <c r="H476" t="s">
        <v>142</v>
      </c>
      <c r="I476" t="s">
        <v>40</v>
      </c>
      <c r="J476" t="s">
        <v>41</v>
      </c>
      <c r="K476">
        <v>12.8</v>
      </c>
      <c r="L476">
        <v>5</v>
      </c>
      <c r="M476">
        <v>0</v>
      </c>
      <c r="N476">
        <v>4.43</v>
      </c>
      <c r="O476" t="str">
        <f t="shared" si="7"/>
        <v>Aug-2025</v>
      </c>
    </row>
    <row r="477" spans="1:15" x14ac:dyDescent="0.25">
      <c r="A477" t="s">
        <v>661</v>
      </c>
      <c r="B477" s="2">
        <v>45496</v>
      </c>
      <c r="C477" s="2">
        <v>45502</v>
      </c>
      <c r="D477" t="s">
        <v>373</v>
      </c>
      <c r="E477" t="s">
        <v>17</v>
      </c>
      <c r="F477" t="s">
        <v>33</v>
      </c>
      <c r="G477" t="s">
        <v>165</v>
      </c>
      <c r="H477" t="s">
        <v>166</v>
      </c>
      <c r="I477" t="s">
        <v>29</v>
      </c>
      <c r="J477" t="s">
        <v>30</v>
      </c>
      <c r="K477">
        <v>124.66</v>
      </c>
      <c r="L477">
        <v>2</v>
      </c>
      <c r="M477">
        <v>0</v>
      </c>
      <c r="N477">
        <v>33.89</v>
      </c>
      <c r="O477" t="str">
        <f t="shared" si="7"/>
        <v>Jul-2024</v>
      </c>
    </row>
    <row r="478" spans="1:15" x14ac:dyDescent="0.25">
      <c r="A478" t="s">
        <v>662</v>
      </c>
      <c r="B478" s="2">
        <v>46002</v>
      </c>
      <c r="C478" s="2">
        <v>46009</v>
      </c>
      <c r="D478" t="s">
        <v>62</v>
      </c>
      <c r="E478" t="s">
        <v>25</v>
      </c>
      <c r="F478" t="s">
        <v>26</v>
      </c>
      <c r="G478" t="s">
        <v>27</v>
      </c>
      <c r="H478" t="s">
        <v>28</v>
      </c>
      <c r="I478" t="s">
        <v>29</v>
      </c>
      <c r="J478" t="s">
        <v>77</v>
      </c>
      <c r="K478">
        <v>976.46</v>
      </c>
      <c r="L478">
        <v>8</v>
      </c>
      <c r="M478">
        <v>0.1</v>
      </c>
      <c r="N478">
        <v>-45.94</v>
      </c>
      <c r="O478" t="str">
        <f t="shared" si="7"/>
        <v>Dec-2025</v>
      </c>
    </row>
    <row r="479" spans="1:15" x14ac:dyDescent="0.25">
      <c r="A479" t="s">
        <v>663</v>
      </c>
      <c r="B479" s="2">
        <v>45556</v>
      </c>
      <c r="C479" s="2">
        <v>45561</v>
      </c>
      <c r="D479" t="s">
        <v>334</v>
      </c>
      <c r="E479" t="s">
        <v>80</v>
      </c>
      <c r="F479" t="s">
        <v>26</v>
      </c>
      <c r="G479" t="s">
        <v>27</v>
      </c>
      <c r="H479" t="s">
        <v>28</v>
      </c>
      <c r="I479" t="s">
        <v>29</v>
      </c>
      <c r="J479" t="s">
        <v>87</v>
      </c>
      <c r="K479">
        <v>1167.4100000000001</v>
      </c>
      <c r="L479">
        <v>3</v>
      </c>
      <c r="M479">
        <v>0.2</v>
      </c>
      <c r="N479">
        <v>47.67</v>
      </c>
      <c r="O479" t="str">
        <f t="shared" si="7"/>
        <v>Sep-2024</v>
      </c>
    </row>
    <row r="480" spans="1:15" x14ac:dyDescent="0.25">
      <c r="A480" t="s">
        <v>664</v>
      </c>
      <c r="B480" s="2">
        <v>45353</v>
      </c>
      <c r="C480" s="2">
        <v>45356</v>
      </c>
      <c r="D480" t="s">
        <v>102</v>
      </c>
      <c r="E480" t="s">
        <v>17</v>
      </c>
      <c r="F480" t="s">
        <v>18</v>
      </c>
      <c r="G480" t="s">
        <v>58</v>
      </c>
      <c r="H480" t="s">
        <v>59</v>
      </c>
      <c r="I480" t="s">
        <v>21</v>
      </c>
      <c r="J480" t="s">
        <v>22</v>
      </c>
      <c r="K480">
        <v>1102.95</v>
      </c>
      <c r="L480">
        <v>5</v>
      </c>
      <c r="M480">
        <v>0</v>
      </c>
      <c r="N480">
        <v>209</v>
      </c>
      <c r="O480" t="str">
        <f t="shared" si="7"/>
        <v>Mar-2024</v>
      </c>
    </row>
    <row r="481" spans="1:15" x14ac:dyDescent="0.25">
      <c r="A481" t="s">
        <v>665</v>
      </c>
      <c r="B481" s="2">
        <v>45660</v>
      </c>
      <c r="C481" s="2">
        <v>45667</v>
      </c>
      <c r="D481" t="s">
        <v>249</v>
      </c>
      <c r="E481" t="s">
        <v>80</v>
      </c>
      <c r="F481" t="s">
        <v>18</v>
      </c>
      <c r="G481" t="s">
        <v>19</v>
      </c>
      <c r="H481" t="s">
        <v>20</v>
      </c>
      <c r="I481" t="s">
        <v>40</v>
      </c>
      <c r="J481" t="s">
        <v>98</v>
      </c>
      <c r="K481">
        <v>106.75</v>
      </c>
      <c r="L481">
        <v>5</v>
      </c>
      <c r="M481">
        <v>0.3</v>
      </c>
      <c r="N481">
        <v>33.630000000000003</v>
      </c>
      <c r="O481" t="str">
        <f t="shared" si="7"/>
        <v>Jan-2025</v>
      </c>
    </row>
    <row r="482" spans="1:15" x14ac:dyDescent="0.25">
      <c r="A482" t="s">
        <v>666</v>
      </c>
      <c r="B482" s="2">
        <v>45615</v>
      </c>
      <c r="C482" s="2">
        <v>45619</v>
      </c>
      <c r="D482" t="s">
        <v>192</v>
      </c>
      <c r="E482" t="s">
        <v>17</v>
      </c>
      <c r="F482" t="s">
        <v>33</v>
      </c>
      <c r="G482" t="s">
        <v>38</v>
      </c>
      <c r="H482" t="s">
        <v>39</v>
      </c>
      <c r="I482" t="s">
        <v>40</v>
      </c>
      <c r="J482" t="s">
        <v>176</v>
      </c>
      <c r="K482">
        <v>26.26</v>
      </c>
      <c r="L482">
        <v>2</v>
      </c>
      <c r="M482">
        <v>0</v>
      </c>
      <c r="N482">
        <v>2.88</v>
      </c>
      <c r="O482" t="str">
        <f t="shared" si="7"/>
        <v>Nov-2024</v>
      </c>
    </row>
    <row r="483" spans="1:15" x14ac:dyDescent="0.25">
      <c r="A483" t="s">
        <v>667</v>
      </c>
      <c r="B483" s="2">
        <v>45834</v>
      </c>
      <c r="C483" s="2">
        <v>45837</v>
      </c>
      <c r="D483" t="s">
        <v>373</v>
      </c>
      <c r="E483" t="s">
        <v>17</v>
      </c>
      <c r="F483" t="s">
        <v>33</v>
      </c>
      <c r="G483" t="s">
        <v>165</v>
      </c>
      <c r="H483" t="s">
        <v>166</v>
      </c>
      <c r="I483" t="s">
        <v>21</v>
      </c>
      <c r="J483" t="s">
        <v>22</v>
      </c>
      <c r="K483">
        <v>1867.77</v>
      </c>
      <c r="L483">
        <v>7</v>
      </c>
      <c r="M483">
        <v>0.2</v>
      </c>
      <c r="N483">
        <v>181.36</v>
      </c>
      <c r="O483" t="str">
        <f t="shared" si="7"/>
        <v>Jun-2025</v>
      </c>
    </row>
    <row r="484" spans="1:15" x14ac:dyDescent="0.25">
      <c r="A484" t="s">
        <v>668</v>
      </c>
      <c r="B484" s="2">
        <v>45574</v>
      </c>
      <c r="C484" s="2">
        <v>45581</v>
      </c>
      <c r="D484" t="s">
        <v>285</v>
      </c>
      <c r="E484" t="s">
        <v>80</v>
      </c>
      <c r="F484" t="s">
        <v>63</v>
      </c>
      <c r="G484" t="s">
        <v>112</v>
      </c>
      <c r="H484" t="s">
        <v>113</v>
      </c>
      <c r="I484" t="s">
        <v>40</v>
      </c>
      <c r="J484" t="s">
        <v>98</v>
      </c>
      <c r="K484">
        <v>98.01</v>
      </c>
      <c r="L484">
        <v>5</v>
      </c>
      <c r="M484">
        <v>0.1</v>
      </c>
      <c r="N484">
        <v>31.08</v>
      </c>
      <c r="O484" t="str">
        <f t="shared" si="7"/>
        <v>Oct-2024</v>
      </c>
    </row>
    <row r="485" spans="1:15" x14ac:dyDescent="0.25">
      <c r="A485" t="s">
        <v>669</v>
      </c>
      <c r="B485" s="2">
        <v>45694</v>
      </c>
      <c r="C485" s="2">
        <v>45700</v>
      </c>
      <c r="D485" t="s">
        <v>127</v>
      </c>
      <c r="E485" t="s">
        <v>25</v>
      </c>
      <c r="F485" t="s">
        <v>18</v>
      </c>
      <c r="G485" t="s">
        <v>71</v>
      </c>
      <c r="H485" t="s">
        <v>72</v>
      </c>
      <c r="I485" t="s">
        <v>40</v>
      </c>
      <c r="J485" t="s">
        <v>41</v>
      </c>
      <c r="K485">
        <v>30.7</v>
      </c>
      <c r="L485">
        <v>7</v>
      </c>
      <c r="M485">
        <v>0.15</v>
      </c>
      <c r="N485">
        <v>10.38</v>
      </c>
      <c r="O485" t="str">
        <f t="shared" si="7"/>
        <v>Feb-2025</v>
      </c>
    </row>
    <row r="486" spans="1:15" x14ac:dyDescent="0.25">
      <c r="A486" t="s">
        <v>670</v>
      </c>
      <c r="B486" s="2">
        <v>45911</v>
      </c>
      <c r="C486" s="2">
        <v>45914</v>
      </c>
      <c r="D486" t="s">
        <v>175</v>
      </c>
      <c r="E486" t="s">
        <v>25</v>
      </c>
      <c r="F486" t="s">
        <v>26</v>
      </c>
      <c r="G486" t="s">
        <v>96</v>
      </c>
      <c r="H486" t="s">
        <v>97</v>
      </c>
      <c r="I486" t="s">
        <v>29</v>
      </c>
      <c r="J486" t="s">
        <v>87</v>
      </c>
      <c r="K486">
        <v>1378.02</v>
      </c>
      <c r="L486">
        <v>3</v>
      </c>
      <c r="M486">
        <v>0</v>
      </c>
      <c r="N486">
        <v>47.98</v>
      </c>
      <c r="O486" t="str">
        <f t="shared" si="7"/>
        <v>Sep-2025</v>
      </c>
    </row>
    <row r="487" spans="1:15" x14ac:dyDescent="0.25">
      <c r="A487" t="s">
        <v>671</v>
      </c>
      <c r="B487" s="2">
        <v>45440</v>
      </c>
      <c r="C487" s="2">
        <v>45446</v>
      </c>
      <c r="D487" t="s">
        <v>70</v>
      </c>
      <c r="E487" t="s">
        <v>25</v>
      </c>
      <c r="F487" t="s">
        <v>26</v>
      </c>
      <c r="G487" t="s">
        <v>90</v>
      </c>
      <c r="H487" t="s">
        <v>91</v>
      </c>
      <c r="I487" t="s">
        <v>40</v>
      </c>
      <c r="J487" t="s">
        <v>176</v>
      </c>
      <c r="K487">
        <v>42.18</v>
      </c>
      <c r="L487">
        <v>3</v>
      </c>
      <c r="M487">
        <v>0</v>
      </c>
      <c r="N487">
        <v>2.97</v>
      </c>
      <c r="O487" t="str">
        <f t="shared" si="7"/>
        <v>May-2024</v>
      </c>
    </row>
    <row r="488" spans="1:15" x14ac:dyDescent="0.25">
      <c r="A488" t="s">
        <v>672</v>
      </c>
      <c r="B488" s="2">
        <v>45618</v>
      </c>
      <c r="C488" s="2">
        <v>45622</v>
      </c>
      <c r="D488" t="s">
        <v>155</v>
      </c>
      <c r="E488" t="s">
        <v>17</v>
      </c>
      <c r="F488" t="s">
        <v>18</v>
      </c>
      <c r="G488" t="s">
        <v>46</v>
      </c>
      <c r="H488" t="s">
        <v>47</v>
      </c>
      <c r="I488" t="s">
        <v>40</v>
      </c>
      <c r="J488" t="s">
        <v>41</v>
      </c>
      <c r="K488">
        <v>108.5</v>
      </c>
      <c r="L488">
        <v>5</v>
      </c>
      <c r="M488">
        <v>0.1</v>
      </c>
      <c r="N488">
        <v>29.69</v>
      </c>
      <c r="O488" t="str">
        <f t="shared" si="7"/>
        <v>Nov-2024</v>
      </c>
    </row>
    <row r="489" spans="1:15" x14ac:dyDescent="0.25">
      <c r="A489" t="s">
        <v>673</v>
      </c>
      <c r="B489" s="2">
        <v>45318</v>
      </c>
      <c r="C489" s="2">
        <v>45325</v>
      </c>
      <c r="D489" t="s">
        <v>230</v>
      </c>
      <c r="E489" t="s">
        <v>17</v>
      </c>
      <c r="F489" t="s">
        <v>63</v>
      </c>
      <c r="G489" t="s">
        <v>67</v>
      </c>
      <c r="H489" t="s">
        <v>68</v>
      </c>
      <c r="I489" t="s">
        <v>29</v>
      </c>
      <c r="J489" t="s">
        <v>55</v>
      </c>
      <c r="K489">
        <v>2518.9699999999998</v>
      </c>
      <c r="L489">
        <v>5</v>
      </c>
      <c r="M489">
        <v>0.15</v>
      </c>
      <c r="N489">
        <v>554.46</v>
      </c>
      <c r="O489" t="str">
        <f t="shared" si="7"/>
        <v>Jan-2024</v>
      </c>
    </row>
    <row r="490" spans="1:15" x14ac:dyDescent="0.25">
      <c r="A490" t="s">
        <v>674</v>
      </c>
      <c r="B490" s="2">
        <v>45659</v>
      </c>
      <c r="C490" s="2">
        <v>45660</v>
      </c>
      <c r="D490" t="s">
        <v>152</v>
      </c>
      <c r="E490" t="s">
        <v>17</v>
      </c>
      <c r="F490" t="s">
        <v>26</v>
      </c>
      <c r="G490" t="s">
        <v>27</v>
      </c>
      <c r="H490" t="s">
        <v>28</v>
      </c>
      <c r="I490" t="s">
        <v>29</v>
      </c>
      <c r="J490" t="s">
        <v>87</v>
      </c>
      <c r="K490">
        <v>5204.08</v>
      </c>
      <c r="L490">
        <v>8</v>
      </c>
      <c r="M490">
        <v>0</v>
      </c>
      <c r="N490">
        <v>79.63</v>
      </c>
      <c r="O490" t="str">
        <f t="shared" si="7"/>
        <v>Jan-2025</v>
      </c>
    </row>
    <row r="491" spans="1:15" x14ac:dyDescent="0.25">
      <c r="A491" t="s">
        <v>675</v>
      </c>
      <c r="B491" s="2">
        <v>45432</v>
      </c>
      <c r="C491" s="2">
        <v>45434</v>
      </c>
      <c r="D491" t="s">
        <v>160</v>
      </c>
      <c r="E491" t="s">
        <v>25</v>
      </c>
      <c r="F491" t="s">
        <v>33</v>
      </c>
      <c r="G491" t="s">
        <v>141</v>
      </c>
      <c r="H491" t="s">
        <v>142</v>
      </c>
      <c r="I491" t="s">
        <v>29</v>
      </c>
      <c r="J491" t="s">
        <v>30</v>
      </c>
      <c r="K491">
        <v>33.35</v>
      </c>
      <c r="L491">
        <v>1</v>
      </c>
      <c r="M491">
        <v>0.1</v>
      </c>
      <c r="N491">
        <v>9.32</v>
      </c>
      <c r="O491" t="str">
        <f t="shared" si="7"/>
        <v>May-2024</v>
      </c>
    </row>
    <row r="492" spans="1:15" x14ac:dyDescent="0.25">
      <c r="A492" t="s">
        <v>676</v>
      </c>
      <c r="B492" s="2">
        <v>45499</v>
      </c>
      <c r="C492" s="2">
        <v>45506</v>
      </c>
      <c r="D492" t="s">
        <v>50</v>
      </c>
      <c r="E492" t="s">
        <v>80</v>
      </c>
      <c r="F492" t="s">
        <v>18</v>
      </c>
      <c r="G492" t="s">
        <v>81</v>
      </c>
      <c r="H492" t="s">
        <v>82</v>
      </c>
      <c r="I492" t="s">
        <v>40</v>
      </c>
      <c r="J492" t="s">
        <v>41</v>
      </c>
      <c r="K492">
        <v>18.09</v>
      </c>
      <c r="L492">
        <v>3</v>
      </c>
      <c r="M492">
        <v>0.1</v>
      </c>
      <c r="N492">
        <v>5.61</v>
      </c>
      <c r="O492" t="str">
        <f t="shared" si="7"/>
        <v>Jul-2024</v>
      </c>
    </row>
    <row r="493" spans="1:15" x14ac:dyDescent="0.25">
      <c r="A493" t="s">
        <v>677</v>
      </c>
      <c r="B493" s="2">
        <v>45334</v>
      </c>
      <c r="C493" s="2">
        <v>45339</v>
      </c>
      <c r="D493" t="s">
        <v>175</v>
      </c>
      <c r="E493" t="s">
        <v>25</v>
      </c>
      <c r="F493" t="s">
        <v>33</v>
      </c>
      <c r="G493" t="s">
        <v>141</v>
      </c>
      <c r="H493" t="s">
        <v>142</v>
      </c>
      <c r="I493" t="s">
        <v>40</v>
      </c>
      <c r="J493" t="s">
        <v>41</v>
      </c>
      <c r="K493">
        <v>105.9</v>
      </c>
      <c r="L493">
        <v>7</v>
      </c>
      <c r="M493">
        <v>0.2</v>
      </c>
      <c r="N493">
        <v>15.24</v>
      </c>
      <c r="O493" t="str">
        <f t="shared" si="7"/>
        <v>Feb-2024</v>
      </c>
    </row>
    <row r="494" spans="1:15" x14ac:dyDescent="0.25">
      <c r="A494" t="s">
        <v>678</v>
      </c>
      <c r="B494" s="2">
        <v>45543</v>
      </c>
      <c r="C494" s="2">
        <v>45548</v>
      </c>
      <c r="D494" t="s">
        <v>214</v>
      </c>
      <c r="E494" t="s">
        <v>17</v>
      </c>
      <c r="F494" t="s">
        <v>18</v>
      </c>
      <c r="G494" t="s">
        <v>71</v>
      </c>
      <c r="H494" t="s">
        <v>72</v>
      </c>
      <c r="I494" t="s">
        <v>29</v>
      </c>
      <c r="J494" t="s">
        <v>30</v>
      </c>
      <c r="K494">
        <v>72.5</v>
      </c>
      <c r="L494">
        <v>1</v>
      </c>
      <c r="M494">
        <v>0.15</v>
      </c>
      <c r="N494">
        <v>12.05</v>
      </c>
      <c r="O494" t="str">
        <f t="shared" si="7"/>
        <v>Sep-2024</v>
      </c>
    </row>
    <row r="495" spans="1:15" x14ac:dyDescent="0.25">
      <c r="A495" t="s">
        <v>679</v>
      </c>
      <c r="B495" s="2">
        <v>45584</v>
      </c>
      <c r="C495" s="2">
        <v>45588</v>
      </c>
      <c r="D495" t="s">
        <v>136</v>
      </c>
      <c r="E495" t="s">
        <v>25</v>
      </c>
      <c r="F495" t="s">
        <v>18</v>
      </c>
      <c r="G495" t="s">
        <v>46</v>
      </c>
      <c r="H495" t="s">
        <v>47</v>
      </c>
      <c r="I495" t="s">
        <v>40</v>
      </c>
      <c r="J495" t="s">
        <v>109</v>
      </c>
      <c r="K495">
        <v>42.46</v>
      </c>
      <c r="L495">
        <v>5</v>
      </c>
      <c r="M495">
        <v>0.15</v>
      </c>
      <c r="N495">
        <v>13.83</v>
      </c>
      <c r="O495" t="str">
        <f t="shared" si="7"/>
        <v>Oct-2024</v>
      </c>
    </row>
    <row r="496" spans="1:15" x14ac:dyDescent="0.25">
      <c r="A496" t="s">
        <v>680</v>
      </c>
      <c r="B496" s="2">
        <v>45804</v>
      </c>
      <c r="C496" s="2">
        <v>45805</v>
      </c>
      <c r="D496" t="s">
        <v>43</v>
      </c>
      <c r="E496" t="s">
        <v>80</v>
      </c>
      <c r="F496" t="s">
        <v>26</v>
      </c>
      <c r="G496" t="s">
        <v>96</v>
      </c>
      <c r="H496" t="s">
        <v>97</v>
      </c>
      <c r="I496" t="s">
        <v>21</v>
      </c>
      <c r="J496" t="s">
        <v>123</v>
      </c>
      <c r="K496">
        <v>1095.1500000000001</v>
      </c>
      <c r="L496">
        <v>3</v>
      </c>
      <c r="M496">
        <v>0.1</v>
      </c>
      <c r="N496">
        <v>4.12</v>
      </c>
      <c r="O496" t="str">
        <f t="shared" si="7"/>
        <v>May-2025</v>
      </c>
    </row>
    <row r="497" spans="1:15" x14ac:dyDescent="0.25">
      <c r="A497" t="s">
        <v>681</v>
      </c>
      <c r="B497" s="2">
        <v>45498</v>
      </c>
      <c r="C497" s="2">
        <v>45502</v>
      </c>
      <c r="D497" t="s">
        <v>438</v>
      </c>
      <c r="E497" t="s">
        <v>80</v>
      </c>
      <c r="F497" t="s">
        <v>33</v>
      </c>
      <c r="G497" t="s">
        <v>34</v>
      </c>
      <c r="H497" t="s">
        <v>35</v>
      </c>
      <c r="I497" t="s">
        <v>29</v>
      </c>
      <c r="J497" t="s">
        <v>30</v>
      </c>
      <c r="K497">
        <v>108.62</v>
      </c>
      <c r="L497">
        <v>6</v>
      </c>
      <c r="M497">
        <v>0.2</v>
      </c>
      <c r="N497">
        <v>26.57</v>
      </c>
      <c r="O497" t="str">
        <f t="shared" si="7"/>
        <v>Jul-2024</v>
      </c>
    </row>
    <row r="498" spans="1:15" x14ac:dyDescent="0.25">
      <c r="A498" t="s">
        <v>682</v>
      </c>
      <c r="B498" s="2">
        <v>45941</v>
      </c>
      <c r="C498" s="2">
        <v>45944</v>
      </c>
      <c r="D498" t="s">
        <v>192</v>
      </c>
      <c r="E498" t="s">
        <v>25</v>
      </c>
      <c r="F498" t="s">
        <v>26</v>
      </c>
      <c r="G498" t="s">
        <v>51</v>
      </c>
      <c r="H498" t="s">
        <v>52</v>
      </c>
      <c r="I498" t="s">
        <v>29</v>
      </c>
      <c r="J498" t="s">
        <v>55</v>
      </c>
      <c r="K498">
        <v>696.42</v>
      </c>
      <c r="L498">
        <v>7</v>
      </c>
      <c r="M498">
        <v>0.2</v>
      </c>
      <c r="N498">
        <v>200.1</v>
      </c>
      <c r="O498" t="str">
        <f t="shared" si="7"/>
        <v>Oct-2025</v>
      </c>
    </row>
    <row r="499" spans="1:15" x14ac:dyDescent="0.25">
      <c r="A499" t="s">
        <v>683</v>
      </c>
      <c r="B499" s="2">
        <v>45635</v>
      </c>
      <c r="C499" s="2">
        <v>45640</v>
      </c>
      <c r="D499" t="s">
        <v>373</v>
      </c>
      <c r="E499" t="s">
        <v>17</v>
      </c>
      <c r="F499" t="s">
        <v>26</v>
      </c>
      <c r="G499" t="s">
        <v>96</v>
      </c>
      <c r="H499" t="s">
        <v>97</v>
      </c>
      <c r="I499" t="s">
        <v>21</v>
      </c>
      <c r="J499" t="s">
        <v>123</v>
      </c>
      <c r="K499">
        <v>4743.66</v>
      </c>
      <c r="L499">
        <v>3</v>
      </c>
      <c r="M499">
        <v>0</v>
      </c>
      <c r="N499">
        <v>298.60000000000002</v>
      </c>
      <c r="O499" t="str">
        <f t="shared" si="7"/>
        <v>Dec-2024</v>
      </c>
    </row>
    <row r="500" spans="1:15" x14ac:dyDescent="0.25">
      <c r="A500" t="s">
        <v>684</v>
      </c>
      <c r="B500" s="2">
        <v>45748</v>
      </c>
      <c r="C500" s="2">
        <v>45751</v>
      </c>
      <c r="D500" t="s">
        <v>148</v>
      </c>
      <c r="E500" t="s">
        <v>80</v>
      </c>
      <c r="F500" t="s">
        <v>26</v>
      </c>
      <c r="G500" t="s">
        <v>51</v>
      </c>
      <c r="H500" t="s">
        <v>52</v>
      </c>
      <c r="I500" t="s">
        <v>40</v>
      </c>
      <c r="J500" t="s">
        <v>98</v>
      </c>
      <c r="K500">
        <v>258.06</v>
      </c>
      <c r="L500">
        <v>2</v>
      </c>
      <c r="M500">
        <v>0</v>
      </c>
      <c r="N500">
        <v>87.26</v>
      </c>
      <c r="O500" t="str">
        <f t="shared" si="7"/>
        <v>Apr-2025</v>
      </c>
    </row>
    <row r="501" spans="1:15" x14ac:dyDescent="0.25">
      <c r="A501" t="s">
        <v>685</v>
      </c>
      <c r="B501" s="2">
        <v>45802</v>
      </c>
      <c r="C501" s="2">
        <v>45807</v>
      </c>
      <c r="D501" t="s">
        <v>214</v>
      </c>
      <c r="E501" t="s">
        <v>25</v>
      </c>
      <c r="F501" t="s">
        <v>18</v>
      </c>
      <c r="G501" t="s">
        <v>71</v>
      </c>
      <c r="H501" t="s">
        <v>72</v>
      </c>
      <c r="I501" t="s">
        <v>40</v>
      </c>
      <c r="J501" t="s">
        <v>48</v>
      </c>
      <c r="K501">
        <v>261.44</v>
      </c>
      <c r="L501">
        <v>8</v>
      </c>
      <c r="M501">
        <v>0</v>
      </c>
      <c r="N501">
        <v>30.08</v>
      </c>
      <c r="O501" t="str">
        <f t="shared" si="7"/>
        <v>May-2025</v>
      </c>
    </row>
    <row r="502" spans="1:15" x14ac:dyDescent="0.25">
      <c r="A502" t="s">
        <v>686</v>
      </c>
      <c r="B502" s="2">
        <v>45906</v>
      </c>
      <c r="C502" s="2">
        <v>45907</v>
      </c>
      <c r="D502" t="s">
        <v>283</v>
      </c>
      <c r="E502" t="s">
        <v>80</v>
      </c>
      <c r="F502" t="s">
        <v>33</v>
      </c>
      <c r="G502" t="s">
        <v>131</v>
      </c>
      <c r="H502" t="s">
        <v>132</v>
      </c>
      <c r="I502" t="s">
        <v>40</v>
      </c>
      <c r="J502" t="s">
        <v>109</v>
      </c>
      <c r="K502">
        <v>58.44</v>
      </c>
      <c r="L502">
        <v>5</v>
      </c>
      <c r="M502">
        <v>0.15</v>
      </c>
      <c r="N502">
        <v>13.94</v>
      </c>
      <c r="O502" t="str">
        <f t="shared" si="7"/>
        <v>Sep-2025</v>
      </c>
    </row>
    <row r="503" spans="1:15" x14ac:dyDescent="0.25">
      <c r="A503" t="s">
        <v>687</v>
      </c>
      <c r="B503" s="2">
        <v>45649</v>
      </c>
      <c r="C503" s="2">
        <v>45650</v>
      </c>
      <c r="D503" t="s">
        <v>32</v>
      </c>
      <c r="E503" t="s">
        <v>80</v>
      </c>
      <c r="F503" t="s">
        <v>26</v>
      </c>
      <c r="G503" t="s">
        <v>51</v>
      </c>
      <c r="H503" t="s">
        <v>52</v>
      </c>
      <c r="I503" t="s">
        <v>29</v>
      </c>
      <c r="J503" t="s">
        <v>87</v>
      </c>
      <c r="K503">
        <v>173.04</v>
      </c>
      <c r="L503">
        <v>1</v>
      </c>
      <c r="M503">
        <v>0.2</v>
      </c>
      <c r="N503">
        <v>4.3499999999999996</v>
      </c>
      <c r="O503" t="str">
        <f t="shared" si="7"/>
        <v>Dec-2024</v>
      </c>
    </row>
    <row r="504" spans="1:15" x14ac:dyDescent="0.25">
      <c r="A504" t="s">
        <v>688</v>
      </c>
      <c r="B504" s="2">
        <v>45474</v>
      </c>
      <c r="C504" s="2">
        <v>45476</v>
      </c>
      <c r="D504" t="s">
        <v>393</v>
      </c>
      <c r="E504" t="s">
        <v>25</v>
      </c>
      <c r="F504" t="s">
        <v>63</v>
      </c>
      <c r="G504" t="s">
        <v>112</v>
      </c>
      <c r="H504" t="s">
        <v>113</v>
      </c>
      <c r="I504" t="s">
        <v>29</v>
      </c>
      <c r="J504" t="s">
        <v>55</v>
      </c>
      <c r="K504">
        <v>1159.6199999999999</v>
      </c>
      <c r="L504">
        <v>3</v>
      </c>
      <c r="M504">
        <v>0.1</v>
      </c>
      <c r="N504">
        <v>318.66000000000003</v>
      </c>
      <c r="O504" t="str">
        <f t="shared" si="7"/>
        <v>Jul-2024</v>
      </c>
    </row>
    <row r="505" spans="1:15" x14ac:dyDescent="0.25">
      <c r="A505" t="s">
        <v>689</v>
      </c>
      <c r="B505" s="2">
        <v>45680</v>
      </c>
      <c r="C505" s="2">
        <v>45687</v>
      </c>
      <c r="D505" t="s">
        <v>138</v>
      </c>
      <c r="E505" t="s">
        <v>25</v>
      </c>
      <c r="F505" t="s">
        <v>63</v>
      </c>
      <c r="G505" t="s">
        <v>149</v>
      </c>
      <c r="H505" t="s">
        <v>150</v>
      </c>
      <c r="I505" t="s">
        <v>29</v>
      </c>
      <c r="J505" t="s">
        <v>77</v>
      </c>
      <c r="K505">
        <v>576.92999999999995</v>
      </c>
      <c r="L505">
        <v>7</v>
      </c>
      <c r="M505">
        <v>0.3</v>
      </c>
      <c r="N505">
        <v>12.44</v>
      </c>
      <c r="O505" t="str">
        <f t="shared" si="7"/>
        <v>Jan-2025</v>
      </c>
    </row>
    <row r="506" spans="1:15" x14ac:dyDescent="0.25">
      <c r="A506" t="s">
        <v>690</v>
      </c>
      <c r="B506" s="2">
        <v>45629</v>
      </c>
      <c r="C506" s="2">
        <v>45634</v>
      </c>
      <c r="D506" t="s">
        <v>162</v>
      </c>
      <c r="E506" t="s">
        <v>25</v>
      </c>
      <c r="F506" t="s">
        <v>63</v>
      </c>
      <c r="G506" t="s">
        <v>64</v>
      </c>
      <c r="H506" t="s">
        <v>65</v>
      </c>
      <c r="I506" t="s">
        <v>29</v>
      </c>
      <c r="J506" t="s">
        <v>55</v>
      </c>
      <c r="K506">
        <v>944.48</v>
      </c>
      <c r="L506">
        <v>4</v>
      </c>
      <c r="M506">
        <v>0.2</v>
      </c>
      <c r="N506">
        <v>106.46</v>
      </c>
      <c r="O506" t="str">
        <f t="shared" si="7"/>
        <v>Dec-2024</v>
      </c>
    </row>
    <row r="507" spans="1:15" x14ac:dyDescent="0.25">
      <c r="A507" t="s">
        <v>691</v>
      </c>
      <c r="B507" s="2">
        <v>45997</v>
      </c>
      <c r="C507" s="2">
        <v>46002</v>
      </c>
      <c r="D507" t="s">
        <v>467</v>
      </c>
      <c r="E507" t="s">
        <v>80</v>
      </c>
      <c r="F507" t="s">
        <v>18</v>
      </c>
      <c r="G507" t="s">
        <v>19</v>
      </c>
      <c r="H507" t="s">
        <v>20</v>
      </c>
      <c r="I507" t="s">
        <v>21</v>
      </c>
      <c r="J507" t="s">
        <v>22</v>
      </c>
      <c r="K507">
        <v>3797.14</v>
      </c>
      <c r="L507">
        <v>5</v>
      </c>
      <c r="M507">
        <v>0.1</v>
      </c>
      <c r="N507">
        <v>883.42</v>
      </c>
      <c r="O507" t="str">
        <f t="shared" si="7"/>
        <v>Dec-2025</v>
      </c>
    </row>
    <row r="508" spans="1:15" x14ac:dyDescent="0.25">
      <c r="A508" t="s">
        <v>692</v>
      </c>
      <c r="B508" s="2">
        <v>45868</v>
      </c>
      <c r="C508" s="2">
        <v>45872</v>
      </c>
      <c r="D508" t="s">
        <v>230</v>
      </c>
      <c r="E508" t="s">
        <v>80</v>
      </c>
      <c r="F508" t="s">
        <v>63</v>
      </c>
      <c r="G508" t="s">
        <v>112</v>
      </c>
      <c r="H508" t="s">
        <v>113</v>
      </c>
      <c r="I508" t="s">
        <v>21</v>
      </c>
      <c r="J508" t="s">
        <v>60</v>
      </c>
      <c r="K508">
        <v>1157.1099999999999</v>
      </c>
      <c r="L508">
        <v>8</v>
      </c>
      <c r="M508">
        <v>0.1</v>
      </c>
      <c r="N508">
        <v>338.33</v>
      </c>
      <c r="O508" t="str">
        <f t="shared" si="7"/>
        <v>Jul-2025</v>
      </c>
    </row>
    <row r="509" spans="1:15" x14ac:dyDescent="0.25">
      <c r="A509" t="s">
        <v>693</v>
      </c>
      <c r="B509" s="2">
        <v>45768</v>
      </c>
      <c r="C509" s="2">
        <v>45774</v>
      </c>
      <c r="D509" t="s">
        <v>565</v>
      </c>
      <c r="E509" t="s">
        <v>17</v>
      </c>
      <c r="F509" t="s">
        <v>26</v>
      </c>
      <c r="G509" t="s">
        <v>75</v>
      </c>
      <c r="H509" t="s">
        <v>76</v>
      </c>
      <c r="I509" t="s">
        <v>29</v>
      </c>
      <c r="J509" t="s">
        <v>55</v>
      </c>
      <c r="K509">
        <v>1384.04</v>
      </c>
      <c r="L509">
        <v>4</v>
      </c>
      <c r="M509">
        <v>0.3</v>
      </c>
      <c r="N509">
        <v>324.69</v>
      </c>
      <c r="O509" t="str">
        <f t="shared" si="7"/>
        <v>Apr-2025</v>
      </c>
    </row>
    <row r="510" spans="1:15" x14ac:dyDescent="0.25">
      <c r="A510" t="s">
        <v>694</v>
      </c>
      <c r="B510" s="2">
        <v>45944</v>
      </c>
      <c r="C510" s="2">
        <v>45946</v>
      </c>
      <c r="D510" t="s">
        <v>269</v>
      </c>
      <c r="E510" t="s">
        <v>80</v>
      </c>
      <c r="F510" t="s">
        <v>33</v>
      </c>
      <c r="G510" t="s">
        <v>131</v>
      </c>
      <c r="H510" t="s">
        <v>132</v>
      </c>
      <c r="I510" t="s">
        <v>29</v>
      </c>
      <c r="J510" t="s">
        <v>77</v>
      </c>
      <c r="K510">
        <v>302.82</v>
      </c>
      <c r="L510">
        <v>4</v>
      </c>
      <c r="M510">
        <v>0.2</v>
      </c>
      <c r="N510">
        <v>-4.05</v>
      </c>
      <c r="O510" t="str">
        <f t="shared" si="7"/>
        <v>Oct-2025</v>
      </c>
    </row>
    <row r="511" spans="1:15" x14ac:dyDescent="0.25">
      <c r="A511" t="s">
        <v>695</v>
      </c>
      <c r="B511" s="2">
        <v>45298</v>
      </c>
      <c r="C511" s="2">
        <v>45299</v>
      </c>
      <c r="D511" t="s">
        <v>304</v>
      </c>
      <c r="E511" t="s">
        <v>25</v>
      </c>
      <c r="F511" t="s">
        <v>18</v>
      </c>
      <c r="G511" t="s">
        <v>81</v>
      </c>
      <c r="H511" t="s">
        <v>82</v>
      </c>
      <c r="I511" t="s">
        <v>40</v>
      </c>
      <c r="J511" t="s">
        <v>176</v>
      </c>
      <c r="K511">
        <v>57.24</v>
      </c>
      <c r="L511">
        <v>6</v>
      </c>
      <c r="M511">
        <v>0.1</v>
      </c>
      <c r="N511">
        <v>15.3</v>
      </c>
      <c r="O511" t="str">
        <f t="shared" si="7"/>
        <v>Jan-2024</v>
      </c>
    </row>
    <row r="512" spans="1:15" x14ac:dyDescent="0.25">
      <c r="A512" t="s">
        <v>696</v>
      </c>
      <c r="B512" s="2">
        <v>45980</v>
      </c>
      <c r="C512" s="2">
        <v>45984</v>
      </c>
      <c r="D512" t="s">
        <v>122</v>
      </c>
      <c r="E512" t="s">
        <v>25</v>
      </c>
      <c r="F512" t="s">
        <v>18</v>
      </c>
      <c r="G512" t="s">
        <v>46</v>
      </c>
      <c r="H512" t="s">
        <v>47</v>
      </c>
      <c r="I512" t="s">
        <v>29</v>
      </c>
      <c r="J512" t="s">
        <v>77</v>
      </c>
      <c r="K512">
        <v>372.5</v>
      </c>
      <c r="L512">
        <v>1</v>
      </c>
      <c r="M512">
        <v>0.2</v>
      </c>
      <c r="N512">
        <v>-12.05</v>
      </c>
      <c r="O512" t="str">
        <f t="shared" si="7"/>
        <v>Nov-2025</v>
      </c>
    </row>
    <row r="513" spans="1:15" x14ac:dyDescent="0.25">
      <c r="A513" t="s">
        <v>697</v>
      </c>
      <c r="B513" s="2">
        <v>45349</v>
      </c>
      <c r="C513" s="2">
        <v>45356</v>
      </c>
      <c r="D513" t="s">
        <v>264</v>
      </c>
      <c r="E513" t="s">
        <v>25</v>
      </c>
      <c r="F513" t="s">
        <v>26</v>
      </c>
      <c r="G513" t="s">
        <v>96</v>
      </c>
      <c r="H513" t="s">
        <v>97</v>
      </c>
      <c r="I513" t="s">
        <v>21</v>
      </c>
      <c r="J513" t="s">
        <v>60</v>
      </c>
      <c r="K513">
        <v>821.66</v>
      </c>
      <c r="L513">
        <v>6</v>
      </c>
      <c r="M513">
        <v>0.15</v>
      </c>
      <c r="N513">
        <v>173.18</v>
      </c>
      <c r="O513" t="str">
        <f t="shared" si="7"/>
        <v>Feb-2024</v>
      </c>
    </row>
    <row r="514" spans="1:15" x14ac:dyDescent="0.25">
      <c r="A514" t="s">
        <v>698</v>
      </c>
      <c r="B514" s="2">
        <v>45359</v>
      </c>
      <c r="C514" s="2">
        <v>45361</v>
      </c>
      <c r="D514" t="s">
        <v>212</v>
      </c>
      <c r="E514" t="s">
        <v>25</v>
      </c>
      <c r="F514" t="s">
        <v>26</v>
      </c>
      <c r="G514" t="s">
        <v>27</v>
      </c>
      <c r="H514" t="s">
        <v>28</v>
      </c>
      <c r="I514" t="s">
        <v>21</v>
      </c>
      <c r="J514" t="s">
        <v>60</v>
      </c>
      <c r="K514">
        <v>91.33</v>
      </c>
      <c r="L514">
        <v>1</v>
      </c>
      <c r="M514">
        <v>0</v>
      </c>
      <c r="N514">
        <v>31.52</v>
      </c>
      <c r="O514" t="str">
        <f t="shared" ref="O514:O577" si="8">TEXT(B514,"mmm-yyyy")</f>
        <v>Mar-2024</v>
      </c>
    </row>
    <row r="515" spans="1:15" x14ac:dyDescent="0.25">
      <c r="A515" t="s">
        <v>699</v>
      </c>
      <c r="B515" s="2">
        <v>45411</v>
      </c>
      <c r="C515" s="2">
        <v>45418</v>
      </c>
      <c r="D515" t="s">
        <v>272</v>
      </c>
      <c r="E515" t="s">
        <v>80</v>
      </c>
      <c r="F515" t="s">
        <v>26</v>
      </c>
      <c r="G515" t="s">
        <v>27</v>
      </c>
      <c r="H515" t="s">
        <v>28</v>
      </c>
      <c r="I515" t="s">
        <v>21</v>
      </c>
      <c r="J515" t="s">
        <v>123</v>
      </c>
      <c r="K515">
        <v>5719.92</v>
      </c>
      <c r="L515">
        <v>5</v>
      </c>
      <c r="M515">
        <v>0.2</v>
      </c>
      <c r="N515">
        <v>351.87</v>
      </c>
      <c r="O515" t="str">
        <f t="shared" si="8"/>
        <v>Apr-2024</v>
      </c>
    </row>
    <row r="516" spans="1:15" x14ac:dyDescent="0.25">
      <c r="A516" t="s">
        <v>700</v>
      </c>
      <c r="B516" s="2">
        <v>45672</v>
      </c>
      <c r="C516" s="2">
        <v>45676</v>
      </c>
      <c r="D516" t="s">
        <v>194</v>
      </c>
      <c r="E516" t="s">
        <v>17</v>
      </c>
      <c r="F516" t="s">
        <v>18</v>
      </c>
      <c r="G516" t="s">
        <v>81</v>
      </c>
      <c r="H516" t="s">
        <v>82</v>
      </c>
      <c r="I516" t="s">
        <v>40</v>
      </c>
      <c r="J516" t="s">
        <v>48</v>
      </c>
      <c r="K516">
        <v>167.6</v>
      </c>
      <c r="L516">
        <v>5</v>
      </c>
      <c r="M516">
        <v>0</v>
      </c>
      <c r="N516">
        <v>34.78</v>
      </c>
      <c r="O516" t="str">
        <f t="shared" si="8"/>
        <v>Jan-2025</v>
      </c>
    </row>
    <row r="517" spans="1:15" x14ac:dyDescent="0.25">
      <c r="A517" t="s">
        <v>701</v>
      </c>
      <c r="B517" s="2">
        <v>45386</v>
      </c>
      <c r="C517" s="2">
        <v>45390</v>
      </c>
      <c r="D517" t="s">
        <v>259</v>
      </c>
      <c r="E517" t="s">
        <v>17</v>
      </c>
      <c r="F517" t="s">
        <v>26</v>
      </c>
      <c r="G517" t="s">
        <v>51</v>
      </c>
      <c r="H517" t="s">
        <v>52</v>
      </c>
      <c r="I517" t="s">
        <v>40</v>
      </c>
      <c r="J517" t="s">
        <v>48</v>
      </c>
      <c r="K517">
        <v>144.36000000000001</v>
      </c>
      <c r="L517">
        <v>8</v>
      </c>
      <c r="M517">
        <v>0.15</v>
      </c>
      <c r="N517">
        <v>13.89</v>
      </c>
      <c r="O517" t="str">
        <f t="shared" si="8"/>
        <v>Apr-2024</v>
      </c>
    </row>
    <row r="518" spans="1:15" x14ac:dyDescent="0.25">
      <c r="A518" t="s">
        <v>702</v>
      </c>
      <c r="B518" s="2">
        <v>45438</v>
      </c>
      <c r="C518" s="2">
        <v>45445</v>
      </c>
      <c r="D518" t="s">
        <v>259</v>
      </c>
      <c r="E518" t="s">
        <v>25</v>
      </c>
      <c r="F518" t="s">
        <v>63</v>
      </c>
      <c r="G518" t="s">
        <v>64</v>
      </c>
      <c r="H518" t="s">
        <v>65</v>
      </c>
      <c r="I518" t="s">
        <v>21</v>
      </c>
      <c r="J518" t="s">
        <v>60</v>
      </c>
      <c r="K518">
        <v>788.46</v>
      </c>
      <c r="L518">
        <v>3</v>
      </c>
      <c r="M518">
        <v>0</v>
      </c>
      <c r="N518">
        <v>210.81</v>
      </c>
      <c r="O518" t="str">
        <f t="shared" si="8"/>
        <v>May-2024</v>
      </c>
    </row>
    <row r="519" spans="1:15" x14ac:dyDescent="0.25">
      <c r="A519" t="s">
        <v>703</v>
      </c>
      <c r="B519" s="2">
        <v>45337</v>
      </c>
      <c r="C519" s="2">
        <v>45343</v>
      </c>
      <c r="D519" t="s">
        <v>623</v>
      </c>
      <c r="E519" t="s">
        <v>25</v>
      </c>
      <c r="F519" t="s">
        <v>33</v>
      </c>
      <c r="G519" t="s">
        <v>131</v>
      </c>
      <c r="H519" t="s">
        <v>132</v>
      </c>
      <c r="I519" t="s">
        <v>21</v>
      </c>
      <c r="J519" t="s">
        <v>22</v>
      </c>
      <c r="K519">
        <v>1541.82</v>
      </c>
      <c r="L519">
        <v>2</v>
      </c>
      <c r="M519">
        <v>0</v>
      </c>
      <c r="N519">
        <v>293.04000000000002</v>
      </c>
      <c r="O519" t="str">
        <f t="shared" si="8"/>
        <v>Feb-2024</v>
      </c>
    </row>
    <row r="520" spans="1:15" x14ac:dyDescent="0.25">
      <c r="A520" t="s">
        <v>704</v>
      </c>
      <c r="B520" s="2">
        <v>45611</v>
      </c>
      <c r="C520" s="2">
        <v>45617</v>
      </c>
      <c r="D520" t="s">
        <v>140</v>
      </c>
      <c r="E520" t="s">
        <v>80</v>
      </c>
      <c r="F520" t="s">
        <v>18</v>
      </c>
      <c r="G520" t="s">
        <v>19</v>
      </c>
      <c r="H520" t="s">
        <v>20</v>
      </c>
      <c r="I520" t="s">
        <v>21</v>
      </c>
      <c r="J520" t="s">
        <v>60</v>
      </c>
      <c r="K520">
        <v>1612.32</v>
      </c>
      <c r="L520">
        <v>6</v>
      </c>
      <c r="M520">
        <v>0</v>
      </c>
      <c r="N520">
        <v>173.75</v>
      </c>
      <c r="O520" t="str">
        <f t="shared" si="8"/>
        <v>Nov-2024</v>
      </c>
    </row>
    <row r="521" spans="1:15" x14ac:dyDescent="0.25">
      <c r="A521" t="s">
        <v>705</v>
      </c>
      <c r="B521" s="2">
        <v>45571</v>
      </c>
      <c r="C521" s="2">
        <v>45573</v>
      </c>
      <c r="D521" t="s">
        <v>86</v>
      </c>
      <c r="E521" t="s">
        <v>17</v>
      </c>
      <c r="F521" t="s">
        <v>63</v>
      </c>
      <c r="G521" t="s">
        <v>106</v>
      </c>
      <c r="H521" t="s">
        <v>107</v>
      </c>
      <c r="I521" t="s">
        <v>40</v>
      </c>
      <c r="J521" t="s">
        <v>109</v>
      </c>
      <c r="K521">
        <v>19.12</v>
      </c>
      <c r="L521">
        <v>2</v>
      </c>
      <c r="M521">
        <v>0</v>
      </c>
      <c r="N521">
        <v>6.45</v>
      </c>
      <c r="O521" t="str">
        <f t="shared" si="8"/>
        <v>Oct-2024</v>
      </c>
    </row>
    <row r="522" spans="1:15" x14ac:dyDescent="0.25">
      <c r="A522" t="s">
        <v>706</v>
      </c>
      <c r="B522" s="2">
        <v>45569</v>
      </c>
      <c r="C522" s="2">
        <v>45571</v>
      </c>
      <c r="D522" t="s">
        <v>304</v>
      </c>
      <c r="E522" t="s">
        <v>25</v>
      </c>
      <c r="F522" t="s">
        <v>18</v>
      </c>
      <c r="G522" t="s">
        <v>46</v>
      </c>
      <c r="H522" t="s">
        <v>47</v>
      </c>
      <c r="I522" t="s">
        <v>21</v>
      </c>
      <c r="J522" t="s">
        <v>60</v>
      </c>
      <c r="K522">
        <v>1205.0899999999999</v>
      </c>
      <c r="L522">
        <v>5</v>
      </c>
      <c r="M522">
        <v>0.15</v>
      </c>
      <c r="N522">
        <v>148.77000000000001</v>
      </c>
      <c r="O522" t="str">
        <f t="shared" si="8"/>
        <v>Oct-2024</v>
      </c>
    </row>
    <row r="523" spans="1:15" x14ac:dyDescent="0.25">
      <c r="A523" t="s">
        <v>707</v>
      </c>
      <c r="B523" s="2">
        <v>45343</v>
      </c>
      <c r="C523" s="2">
        <v>45345</v>
      </c>
      <c r="D523" t="s">
        <v>334</v>
      </c>
      <c r="E523" t="s">
        <v>25</v>
      </c>
      <c r="F523" t="s">
        <v>18</v>
      </c>
      <c r="G523" t="s">
        <v>81</v>
      </c>
      <c r="H523" t="s">
        <v>82</v>
      </c>
      <c r="I523" t="s">
        <v>21</v>
      </c>
      <c r="J523" t="s">
        <v>60</v>
      </c>
      <c r="K523">
        <v>18.41</v>
      </c>
      <c r="L523">
        <v>1</v>
      </c>
      <c r="M523">
        <v>0</v>
      </c>
      <c r="N523">
        <v>3.04</v>
      </c>
      <c r="O523" t="str">
        <f t="shared" si="8"/>
        <v>Feb-2024</v>
      </c>
    </row>
    <row r="524" spans="1:15" x14ac:dyDescent="0.25">
      <c r="A524" t="s">
        <v>708</v>
      </c>
      <c r="B524" s="2">
        <v>45898</v>
      </c>
      <c r="C524" s="2">
        <v>45904</v>
      </c>
      <c r="D524" t="s">
        <v>192</v>
      </c>
      <c r="E524" t="s">
        <v>80</v>
      </c>
      <c r="F524" t="s">
        <v>18</v>
      </c>
      <c r="G524" t="s">
        <v>58</v>
      </c>
      <c r="H524" t="s">
        <v>59</v>
      </c>
      <c r="I524" t="s">
        <v>40</v>
      </c>
      <c r="J524" t="s">
        <v>41</v>
      </c>
      <c r="K524">
        <v>144.36000000000001</v>
      </c>
      <c r="L524">
        <v>8</v>
      </c>
      <c r="M524">
        <v>0.15</v>
      </c>
      <c r="N524">
        <v>22.62</v>
      </c>
      <c r="O524" t="str">
        <f t="shared" si="8"/>
        <v>Aug-2025</v>
      </c>
    </row>
    <row r="525" spans="1:15" x14ac:dyDescent="0.25">
      <c r="A525" t="s">
        <v>709</v>
      </c>
      <c r="B525" s="2">
        <v>45873</v>
      </c>
      <c r="C525" s="2">
        <v>45875</v>
      </c>
      <c r="D525" t="s">
        <v>362</v>
      </c>
      <c r="E525" t="s">
        <v>25</v>
      </c>
      <c r="F525" t="s">
        <v>63</v>
      </c>
      <c r="G525" t="s">
        <v>67</v>
      </c>
      <c r="H525" t="s">
        <v>68</v>
      </c>
      <c r="I525" t="s">
        <v>21</v>
      </c>
      <c r="J525" t="s">
        <v>22</v>
      </c>
      <c r="K525">
        <v>1031.8399999999999</v>
      </c>
      <c r="L525">
        <v>8</v>
      </c>
      <c r="M525">
        <v>0</v>
      </c>
      <c r="N525">
        <v>192.62</v>
      </c>
      <c r="O525" t="str">
        <f t="shared" si="8"/>
        <v>Aug-2025</v>
      </c>
    </row>
    <row r="526" spans="1:15" x14ac:dyDescent="0.25">
      <c r="A526" t="s">
        <v>710</v>
      </c>
      <c r="B526" s="2">
        <v>45556</v>
      </c>
      <c r="C526" s="2">
        <v>45559</v>
      </c>
      <c r="D526" t="s">
        <v>117</v>
      </c>
      <c r="E526" t="s">
        <v>80</v>
      </c>
      <c r="F526" t="s">
        <v>33</v>
      </c>
      <c r="G526" t="s">
        <v>131</v>
      </c>
      <c r="H526" t="s">
        <v>132</v>
      </c>
      <c r="I526" t="s">
        <v>29</v>
      </c>
      <c r="J526" t="s">
        <v>87</v>
      </c>
      <c r="K526">
        <v>1737.37</v>
      </c>
      <c r="L526">
        <v>6</v>
      </c>
      <c r="M526">
        <v>0.3</v>
      </c>
      <c r="N526">
        <v>107.55</v>
      </c>
      <c r="O526" t="str">
        <f t="shared" si="8"/>
        <v>Sep-2024</v>
      </c>
    </row>
    <row r="527" spans="1:15" x14ac:dyDescent="0.25">
      <c r="A527" t="s">
        <v>711</v>
      </c>
      <c r="B527" s="2">
        <v>45407</v>
      </c>
      <c r="C527" s="2">
        <v>45410</v>
      </c>
      <c r="D527" t="s">
        <v>95</v>
      </c>
      <c r="E527" t="s">
        <v>25</v>
      </c>
      <c r="F527" t="s">
        <v>63</v>
      </c>
      <c r="G527" t="s">
        <v>64</v>
      </c>
      <c r="H527" t="s">
        <v>65</v>
      </c>
      <c r="I527" t="s">
        <v>40</v>
      </c>
      <c r="J527" t="s">
        <v>48</v>
      </c>
      <c r="K527">
        <v>60.57</v>
      </c>
      <c r="L527">
        <v>3</v>
      </c>
      <c r="M527">
        <v>0</v>
      </c>
      <c r="N527">
        <v>16.98</v>
      </c>
      <c r="O527" t="str">
        <f t="shared" si="8"/>
        <v>Apr-2024</v>
      </c>
    </row>
    <row r="528" spans="1:15" x14ac:dyDescent="0.25">
      <c r="A528" t="s">
        <v>712</v>
      </c>
      <c r="B528" s="2">
        <v>45401</v>
      </c>
      <c r="C528" s="2">
        <v>45404</v>
      </c>
      <c r="D528" t="s">
        <v>378</v>
      </c>
      <c r="E528" t="s">
        <v>80</v>
      </c>
      <c r="F528" t="s">
        <v>26</v>
      </c>
      <c r="G528" t="s">
        <v>27</v>
      </c>
      <c r="H528" t="s">
        <v>28</v>
      </c>
      <c r="I528" t="s">
        <v>29</v>
      </c>
      <c r="J528" t="s">
        <v>30</v>
      </c>
      <c r="K528">
        <v>123</v>
      </c>
      <c r="L528">
        <v>2</v>
      </c>
      <c r="M528">
        <v>0.3</v>
      </c>
      <c r="N528">
        <v>17.3</v>
      </c>
      <c r="O528" t="str">
        <f t="shared" si="8"/>
        <v>Apr-2024</v>
      </c>
    </row>
    <row r="529" spans="1:15" x14ac:dyDescent="0.25">
      <c r="A529" t="s">
        <v>713</v>
      </c>
      <c r="B529" s="2">
        <v>45541</v>
      </c>
      <c r="C529" s="2">
        <v>45546</v>
      </c>
      <c r="D529" t="s">
        <v>285</v>
      </c>
      <c r="E529" t="s">
        <v>80</v>
      </c>
      <c r="F529" t="s">
        <v>33</v>
      </c>
      <c r="G529" t="s">
        <v>131</v>
      </c>
      <c r="H529" t="s">
        <v>132</v>
      </c>
      <c r="I529" t="s">
        <v>21</v>
      </c>
      <c r="J529" t="s">
        <v>123</v>
      </c>
      <c r="K529">
        <v>2666.38</v>
      </c>
      <c r="L529">
        <v>8</v>
      </c>
      <c r="M529">
        <v>0.1</v>
      </c>
      <c r="N529">
        <v>-110.42</v>
      </c>
      <c r="O529" t="str">
        <f t="shared" si="8"/>
        <v>Sep-2024</v>
      </c>
    </row>
    <row r="530" spans="1:15" x14ac:dyDescent="0.25">
      <c r="A530" t="s">
        <v>714</v>
      </c>
      <c r="B530" s="2">
        <v>45849</v>
      </c>
      <c r="C530" s="2">
        <v>45855</v>
      </c>
      <c r="D530" t="s">
        <v>354</v>
      </c>
      <c r="E530" t="s">
        <v>25</v>
      </c>
      <c r="F530" t="s">
        <v>26</v>
      </c>
      <c r="G530" t="s">
        <v>27</v>
      </c>
      <c r="H530" t="s">
        <v>28</v>
      </c>
      <c r="I530" t="s">
        <v>40</v>
      </c>
      <c r="J530" t="s">
        <v>109</v>
      </c>
      <c r="K530">
        <v>21.34</v>
      </c>
      <c r="L530">
        <v>2</v>
      </c>
      <c r="M530">
        <v>0.2</v>
      </c>
      <c r="N530">
        <v>7.03</v>
      </c>
      <c r="O530" t="str">
        <f t="shared" si="8"/>
        <v>Jul-2025</v>
      </c>
    </row>
    <row r="531" spans="1:15" x14ac:dyDescent="0.25">
      <c r="A531" t="s">
        <v>715</v>
      </c>
      <c r="B531" s="2">
        <v>45391</v>
      </c>
      <c r="C531" s="2">
        <v>45398</v>
      </c>
      <c r="D531" t="s">
        <v>138</v>
      </c>
      <c r="E531" t="s">
        <v>80</v>
      </c>
      <c r="F531" t="s">
        <v>33</v>
      </c>
      <c r="G531" t="s">
        <v>34</v>
      </c>
      <c r="H531" t="s">
        <v>35</v>
      </c>
      <c r="I531" t="s">
        <v>21</v>
      </c>
      <c r="J531" t="s">
        <v>123</v>
      </c>
      <c r="K531">
        <v>3855.92</v>
      </c>
      <c r="L531">
        <v>5</v>
      </c>
      <c r="M531">
        <v>0.1</v>
      </c>
      <c r="N531">
        <v>-157.9</v>
      </c>
      <c r="O531" t="str">
        <f t="shared" si="8"/>
        <v>Apr-2024</v>
      </c>
    </row>
    <row r="532" spans="1:15" x14ac:dyDescent="0.25">
      <c r="A532" t="s">
        <v>716</v>
      </c>
      <c r="B532" s="2">
        <v>45968</v>
      </c>
      <c r="C532" s="2">
        <v>45969</v>
      </c>
      <c r="D532" t="s">
        <v>194</v>
      </c>
      <c r="E532" t="s">
        <v>80</v>
      </c>
      <c r="F532" t="s">
        <v>18</v>
      </c>
      <c r="G532" t="s">
        <v>71</v>
      </c>
      <c r="H532" t="s">
        <v>72</v>
      </c>
      <c r="I532" t="s">
        <v>40</v>
      </c>
      <c r="J532" t="s">
        <v>98</v>
      </c>
      <c r="K532">
        <v>69.36</v>
      </c>
      <c r="L532">
        <v>3</v>
      </c>
      <c r="M532">
        <v>0.15</v>
      </c>
      <c r="N532">
        <v>22.26</v>
      </c>
      <c r="O532" t="str">
        <f t="shared" si="8"/>
        <v>Nov-2025</v>
      </c>
    </row>
    <row r="533" spans="1:15" x14ac:dyDescent="0.25">
      <c r="A533" t="s">
        <v>717</v>
      </c>
      <c r="B533" s="2">
        <v>45590</v>
      </c>
      <c r="C533" s="2">
        <v>45594</v>
      </c>
      <c r="D533" t="s">
        <v>308</v>
      </c>
      <c r="E533" t="s">
        <v>80</v>
      </c>
      <c r="F533" t="s">
        <v>18</v>
      </c>
      <c r="G533" t="s">
        <v>46</v>
      </c>
      <c r="H533" t="s">
        <v>47</v>
      </c>
      <c r="I533" t="s">
        <v>21</v>
      </c>
      <c r="J533" t="s">
        <v>103</v>
      </c>
      <c r="K533">
        <v>13234.08</v>
      </c>
      <c r="L533">
        <v>8</v>
      </c>
      <c r="M533">
        <v>0</v>
      </c>
      <c r="N533">
        <v>1478.23</v>
      </c>
      <c r="O533" t="str">
        <f t="shared" si="8"/>
        <v>Oct-2024</v>
      </c>
    </row>
    <row r="534" spans="1:15" x14ac:dyDescent="0.25">
      <c r="A534" t="s">
        <v>718</v>
      </c>
      <c r="B534" s="2">
        <v>45644</v>
      </c>
      <c r="C534" s="2">
        <v>45645</v>
      </c>
      <c r="D534" t="s">
        <v>442</v>
      </c>
      <c r="E534" t="s">
        <v>80</v>
      </c>
      <c r="F534" t="s">
        <v>63</v>
      </c>
      <c r="G534" t="s">
        <v>112</v>
      </c>
      <c r="H534" t="s">
        <v>113</v>
      </c>
      <c r="I534" t="s">
        <v>21</v>
      </c>
      <c r="J534" t="s">
        <v>60</v>
      </c>
      <c r="K534">
        <v>877.05</v>
      </c>
      <c r="L534">
        <v>7</v>
      </c>
      <c r="M534">
        <v>0.3</v>
      </c>
      <c r="N534">
        <v>77.41</v>
      </c>
      <c r="O534" t="str">
        <f t="shared" si="8"/>
        <v>Dec-2024</v>
      </c>
    </row>
    <row r="535" spans="1:15" x14ac:dyDescent="0.25">
      <c r="A535" t="s">
        <v>719</v>
      </c>
      <c r="B535" s="2">
        <v>46012</v>
      </c>
      <c r="C535" s="2">
        <v>46017</v>
      </c>
      <c r="D535" t="s">
        <v>365</v>
      </c>
      <c r="E535" t="s">
        <v>17</v>
      </c>
      <c r="F535" t="s">
        <v>63</v>
      </c>
      <c r="G535" t="s">
        <v>149</v>
      </c>
      <c r="H535" t="s">
        <v>150</v>
      </c>
      <c r="I535" t="s">
        <v>40</v>
      </c>
      <c r="J535" t="s">
        <v>176</v>
      </c>
      <c r="K535">
        <v>74.94</v>
      </c>
      <c r="L535">
        <v>6</v>
      </c>
      <c r="M535">
        <v>0</v>
      </c>
      <c r="N535">
        <v>23.11</v>
      </c>
      <c r="O535" t="str">
        <f t="shared" si="8"/>
        <v>Dec-2025</v>
      </c>
    </row>
    <row r="536" spans="1:15" x14ac:dyDescent="0.25">
      <c r="A536" t="s">
        <v>720</v>
      </c>
      <c r="B536" s="2">
        <v>45617</v>
      </c>
      <c r="C536" s="2">
        <v>45623</v>
      </c>
      <c r="D536" t="s">
        <v>136</v>
      </c>
      <c r="E536" t="s">
        <v>80</v>
      </c>
      <c r="F536" t="s">
        <v>18</v>
      </c>
      <c r="G536" t="s">
        <v>46</v>
      </c>
      <c r="H536" t="s">
        <v>47</v>
      </c>
      <c r="I536" t="s">
        <v>40</v>
      </c>
      <c r="J536" t="s">
        <v>176</v>
      </c>
      <c r="K536">
        <v>40.07</v>
      </c>
      <c r="L536">
        <v>7</v>
      </c>
      <c r="M536">
        <v>0.1</v>
      </c>
      <c r="N536">
        <v>8.56</v>
      </c>
      <c r="O536" t="str">
        <f t="shared" si="8"/>
        <v>Nov-2024</v>
      </c>
    </row>
    <row r="537" spans="1:15" x14ac:dyDescent="0.25">
      <c r="A537" t="s">
        <v>721</v>
      </c>
      <c r="B537" s="2">
        <v>45660</v>
      </c>
      <c r="C537" s="2">
        <v>45667</v>
      </c>
      <c r="D537" t="s">
        <v>120</v>
      </c>
      <c r="E537" t="s">
        <v>25</v>
      </c>
      <c r="F537" t="s">
        <v>26</v>
      </c>
      <c r="G537" t="s">
        <v>96</v>
      </c>
      <c r="H537" t="s">
        <v>97</v>
      </c>
      <c r="I537" t="s">
        <v>29</v>
      </c>
      <c r="J537" t="s">
        <v>87</v>
      </c>
      <c r="K537">
        <v>1518.27</v>
      </c>
      <c r="L537">
        <v>5</v>
      </c>
      <c r="M537">
        <v>0.3</v>
      </c>
      <c r="N537">
        <v>56.34</v>
      </c>
      <c r="O537" t="str">
        <f t="shared" si="8"/>
        <v>Jan-2025</v>
      </c>
    </row>
    <row r="538" spans="1:15" x14ac:dyDescent="0.25">
      <c r="A538" t="s">
        <v>722</v>
      </c>
      <c r="B538" s="2">
        <v>45790</v>
      </c>
      <c r="C538" s="2">
        <v>45796</v>
      </c>
      <c r="D538" t="s">
        <v>117</v>
      </c>
      <c r="E538" t="s">
        <v>80</v>
      </c>
      <c r="F538" t="s">
        <v>26</v>
      </c>
      <c r="G538" t="s">
        <v>51</v>
      </c>
      <c r="H538" t="s">
        <v>52</v>
      </c>
      <c r="I538" t="s">
        <v>29</v>
      </c>
      <c r="J538" t="s">
        <v>55</v>
      </c>
      <c r="K538">
        <v>921.3</v>
      </c>
      <c r="L538">
        <v>3</v>
      </c>
      <c r="M538">
        <v>0</v>
      </c>
      <c r="N538">
        <v>83.99</v>
      </c>
      <c r="O538" t="str">
        <f t="shared" si="8"/>
        <v>May-2025</v>
      </c>
    </row>
    <row r="539" spans="1:15" x14ac:dyDescent="0.25">
      <c r="A539" t="s">
        <v>723</v>
      </c>
      <c r="B539" s="2">
        <v>45757</v>
      </c>
      <c r="C539" s="2">
        <v>45762</v>
      </c>
      <c r="D539" t="s">
        <v>314</v>
      </c>
      <c r="E539" t="s">
        <v>17</v>
      </c>
      <c r="F539" t="s">
        <v>33</v>
      </c>
      <c r="G539" t="s">
        <v>131</v>
      </c>
      <c r="H539" t="s">
        <v>132</v>
      </c>
      <c r="I539" t="s">
        <v>21</v>
      </c>
      <c r="J539" t="s">
        <v>123</v>
      </c>
      <c r="K539">
        <v>5911.27</v>
      </c>
      <c r="L539">
        <v>8</v>
      </c>
      <c r="M539">
        <v>0.1</v>
      </c>
      <c r="N539">
        <v>-22.52</v>
      </c>
      <c r="O539" t="str">
        <f t="shared" si="8"/>
        <v>Apr-2025</v>
      </c>
    </row>
    <row r="540" spans="1:15" x14ac:dyDescent="0.25">
      <c r="A540" t="s">
        <v>724</v>
      </c>
      <c r="B540" s="2">
        <v>45534</v>
      </c>
      <c r="C540" s="2">
        <v>45540</v>
      </c>
      <c r="D540" t="s">
        <v>171</v>
      </c>
      <c r="E540" t="s">
        <v>25</v>
      </c>
      <c r="F540" t="s">
        <v>26</v>
      </c>
      <c r="G540" t="s">
        <v>96</v>
      </c>
      <c r="H540" t="s">
        <v>97</v>
      </c>
      <c r="I540" t="s">
        <v>21</v>
      </c>
      <c r="J540" t="s">
        <v>22</v>
      </c>
      <c r="K540">
        <v>2835</v>
      </c>
      <c r="L540">
        <v>7</v>
      </c>
      <c r="M540">
        <v>0.15</v>
      </c>
      <c r="N540">
        <v>631.94000000000005</v>
      </c>
      <c r="O540" t="str">
        <f t="shared" si="8"/>
        <v>Aug-2024</v>
      </c>
    </row>
    <row r="541" spans="1:15" x14ac:dyDescent="0.25">
      <c r="A541" t="s">
        <v>725</v>
      </c>
      <c r="B541" s="2">
        <v>45407</v>
      </c>
      <c r="C541" s="2">
        <v>45412</v>
      </c>
      <c r="D541" t="s">
        <v>192</v>
      </c>
      <c r="E541" t="s">
        <v>25</v>
      </c>
      <c r="F541" t="s">
        <v>18</v>
      </c>
      <c r="G541" t="s">
        <v>19</v>
      </c>
      <c r="H541" t="s">
        <v>20</v>
      </c>
      <c r="I541" t="s">
        <v>21</v>
      </c>
      <c r="J541" t="s">
        <v>123</v>
      </c>
      <c r="K541">
        <v>1837.22</v>
      </c>
      <c r="L541">
        <v>2</v>
      </c>
      <c r="M541">
        <v>0</v>
      </c>
      <c r="N541">
        <v>82.54</v>
      </c>
      <c r="O541" t="str">
        <f t="shared" si="8"/>
        <v>Apr-2024</v>
      </c>
    </row>
    <row r="542" spans="1:15" x14ac:dyDescent="0.25">
      <c r="A542" t="s">
        <v>726</v>
      </c>
      <c r="B542" s="2">
        <v>45382</v>
      </c>
      <c r="C542" s="2">
        <v>45384</v>
      </c>
      <c r="D542" t="s">
        <v>310</v>
      </c>
      <c r="E542" t="s">
        <v>80</v>
      </c>
      <c r="F542" t="s">
        <v>63</v>
      </c>
      <c r="G542" t="s">
        <v>64</v>
      </c>
      <c r="H542" t="s">
        <v>65</v>
      </c>
      <c r="I542" t="s">
        <v>21</v>
      </c>
      <c r="J542" t="s">
        <v>22</v>
      </c>
      <c r="K542">
        <v>722.53</v>
      </c>
      <c r="L542">
        <v>2</v>
      </c>
      <c r="M542">
        <v>0.2</v>
      </c>
      <c r="N542">
        <v>173.48</v>
      </c>
      <c r="O542" t="str">
        <f t="shared" si="8"/>
        <v>Mar-2024</v>
      </c>
    </row>
    <row r="543" spans="1:15" x14ac:dyDescent="0.25">
      <c r="A543" t="s">
        <v>727</v>
      </c>
      <c r="B543" s="2">
        <v>45772</v>
      </c>
      <c r="C543" s="2">
        <v>45776</v>
      </c>
      <c r="D543" t="s">
        <v>341</v>
      </c>
      <c r="E543" t="s">
        <v>17</v>
      </c>
      <c r="F543" t="s">
        <v>63</v>
      </c>
      <c r="G543" t="s">
        <v>106</v>
      </c>
      <c r="H543" t="s">
        <v>107</v>
      </c>
      <c r="I543" t="s">
        <v>29</v>
      </c>
      <c r="J543" t="s">
        <v>77</v>
      </c>
      <c r="K543">
        <v>2041.29</v>
      </c>
      <c r="L543">
        <v>8</v>
      </c>
      <c r="M543">
        <v>0.15</v>
      </c>
      <c r="N543">
        <v>92.67</v>
      </c>
      <c r="O543" t="str">
        <f t="shared" si="8"/>
        <v>Apr-2025</v>
      </c>
    </row>
    <row r="544" spans="1:15" x14ac:dyDescent="0.25">
      <c r="A544" t="s">
        <v>728</v>
      </c>
      <c r="B544" s="2">
        <v>46003</v>
      </c>
      <c r="C544" s="2">
        <v>46008</v>
      </c>
      <c r="D544" t="s">
        <v>330</v>
      </c>
      <c r="E544" t="s">
        <v>17</v>
      </c>
      <c r="F544" t="s">
        <v>33</v>
      </c>
      <c r="G544" t="s">
        <v>141</v>
      </c>
      <c r="H544" t="s">
        <v>142</v>
      </c>
      <c r="I544" t="s">
        <v>40</v>
      </c>
      <c r="J544" t="s">
        <v>98</v>
      </c>
      <c r="K544">
        <v>761.95</v>
      </c>
      <c r="L544">
        <v>5</v>
      </c>
      <c r="M544">
        <v>0</v>
      </c>
      <c r="N544">
        <v>181.95</v>
      </c>
      <c r="O544" t="str">
        <f t="shared" si="8"/>
        <v>Dec-2025</v>
      </c>
    </row>
    <row r="545" spans="1:15" x14ac:dyDescent="0.25">
      <c r="A545" t="s">
        <v>729</v>
      </c>
      <c r="B545" s="2">
        <v>45931</v>
      </c>
      <c r="C545" s="2">
        <v>45932</v>
      </c>
      <c r="D545" t="s">
        <v>291</v>
      </c>
      <c r="E545" t="s">
        <v>80</v>
      </c>
      <c r="F545" t="s">
        <v>26</v>
      </c>
      <c r="G545" t="s">
        <v>27</v>
      </c>
      <c r="H545" t="s">
        <v>28</v>
      </c>
      <c r="I545" t="s">
        <v>29</v>
      </c>
      <c r="J545" t="s">
        <v>77</v>
      </c>
      <c r="K545">
        <v>415.18</v>
      </c>
      <c r="L545">
        <v>2</v>
      </c>
      <c r="M545">
        <v>0</v>
      </c>
      <c r="N545">
        <v>6.53</v>
      </c>
      <c r="O545" t="str">
        <f t="shared" si="8"/>
        <v>Oct-2025</v>
      </c>
    </row>
    <row r="546" spans="1:15" x14ac:dyDescent="0.25">
      <c r="A546" t="s">
        <v>730</v>
      </c>
      <c r="B546" s="2">
        <v>45306</v>
      </c>
      <c r="C546" s="2">
        <v>45312</v>
      </c>
      <c r="D546" t="s">
        <v>37</v>
      </c>
      <c r="E546" t="s">
        <v>25</v>
      </c>
      <c r="F546" t="s">
        <v>63</v>
      </c>
      <c r="G546" t="s">
        <v>112</v>
      </c>
      <c r="H546" t="s">
        <v>113</v>
      </c>
      <c r="I546" t="s">
        <v>29</v>
      </c>
      <c r="J546" t="s">
        <v>77</v>
      </c>
      <c r="K546">
        <v>346.14</v>
      </c>
      <c r="L546">
        <v>3</v>
      </c>
      <c r="M546">
        <v>0.15</v>
      </c>
      <c r="N546">
        <v>15.95</v>
      </c>
      <c r="O546" t="str">
        <f t="shared" si="8"/>
        <v>Jan-2024</v>
      </c>
    </row>
    <row r="547" spans="1:15" x14ac:dyDescent="0.25">
      <c r="A547" t="s">
        <v>731</v>
      </c>
      <c r="B547" s="2">
        <v>45533</v>
      </c>
      <c r="C547" s="2">
        <v>45537</v>
      </c>
      <c r="D547" t="s">
        <v>111</v>
      </c>
      <c r="E547" t="s">
        <v>80</v>
      </c>
      <c r="F547" t="s">
        <v>33</v>
      </c>
      <c r="G547" t="s">
        <v>141</v>
      </c>
      <c r="H547" t="s">
        <v>142</v>
      </c>
      <c r="I547" t="s">
        <v>29</v>
      </c>
      <c r="J547" t="s">
        <v>77</v>
      </c>
      <c r="K547">
        <v>164.13</v>
      </c>
      <c r="L547">
        <v>1</v>
      </c>
      <c r="M547">
        <v>0</v>
      </c>
      <c r="N547">
        <v>12.79</v>
      </c>
      <c r="O547" t="str">
        <f t="shared" si="8"/>
        <v>Aug-2024</v>
      </c>
    </row>
    <row r="548" spans="1:15" x14ac:dyDescent="0.25">
      <c r="A548" t="s">
        <v>732</v>
      </c>
      <c r="B548" s="2">
        <v>45684</v>
      </c>
      <c r="C548" s="2">
        <v>45686</v>
      </c>
      <c r="D548" t="s">
        <v>362</v>
      </c>
      <c r="E548" t="s">
        <v>25</v>
      </c>
      <c r="F548" t="s">
        <v>26</v>
      </c>
      <c r="G548" t="s">
        <v>27</v>
      </c>
      <c r="H548" t="s">
        <v>28</v>
      </c>
      <c r="I548" t="s">
        <v>29</v>
      </c>
      <c r="J548" t="s">
        <v>30</v>
      </c>
      <c r="K548">
        <v>307.47000000000003</v>
      </c>
      <c r="L548">
        <v>3</v>
      </c>
      <c r="M548">
        <v>0</v>
      </c>
      <c r="N548">
        <v>68.67</v>
      </c>
      <c r="O548" t="str">
        <f t="shared" si="8"/>
        <v>Jan-2025</v>
      </c>
    </row>
    <row r="549" spans="1:15" x14ac:dyDescent="0.25">
      <c r="A549" t="s">
        <v>733</v>
      </c>
      <c r="B549" s="2">
        <v>45345</v>
      </c>
      <c r="C549" s="2">
        <v>45347</v>
      </c>
      <c r="D549" t="s">
        <v>362</v>
      </c>
      <c r="E549" t="s">
        <v>17</v>
      </c>
      <c r="F549" t="s">
        <v>63</v>
      </c>
      <c r="G549" t="s">
        <v>149</v>
      </c>
      <c r="H549" t="s">
        <v>150</v>
      </c>
      <c r="I549" t="s">
        <v>21</v>
      </c>
      <c r="J549" t="s">
        <v>60</v>
      </c>
      <c r="K549">
        <v>1156.48</v>
      </c>
      <c r="L549">
        <v>8</v>
      </c>
      <c r="M549">
        <v>0</v>
      </c>
      <c r="N549">
        <v>223.06</v>
      </c>
      <c r="O549" t="str">
        <f t="shared" si="8"/>
        <v>Feb-2024</v>
      </c>
    </row>
    <row r="550" spans="1:15" x14ac:dyDescent="0.25">
      <c r="A550" t="s">
        <v>734</v>
      </c>
      <c r="B550" s="2">
        <v>45440</v>
      </c>
      <c r="C550" s="2">
        <v>45445</v>
      </c>
      <c r="D550" t="s">
        <v>223</v>
      </c>
      <c r="E550" t="s">
        <v>25</v>
      </c>
      <c r="F550" t="s">
        <v>26</v>
      </c>
      <c r="G550" t="s">
        <v>96</v>
      </c>
      <c r="H550" t="s">
        <v>97</v>
      </c>
      <c r="I550" t="s">
        <v>21</v>
      </c>
      <c r="J550" t="s">
        <v>123</v>
      </c>
      <c r="K550">
        <v>1579.47</v>
      </c>
      <c r="L550">
        <v>1</v>
      </c>
      <c r="M550">
        <v>0</v>
      </c>
      <c r="N550">
        <v>111.41</v>
      </c>
      <c r="O550" t="str">
        <f t="shared" si="8"/>
        <v>May-2024</v>
      </c>
    </row>
    <row r="551" spans="1:15" x14ac:dyDescent="0.25">
      <c r="A551" t="s">
        <v>735</v>
      </c>
      <c r="B551" s="2">
        <v>45334</v>
      </c>
      <c r="C551" s="2">
        <v>45335</v>
      </c>
      <c r="D551" t="s">
        <v>219</v>
      </c>
      <c r="E551" t="s">
        <v>80</v>
      </c>
      <c r="F551" t="s">
        <v>33</v>
      </c>
      <c r="G551" t="s">
        <v>131</v>
      </c>
      <c r="H551" t="s">
        <v>132</v>
      </c>
      <c r="I551" t="s">
        <v>21</v>
      </c>
      <c r="J551" t="s">
        <v>60</v>
      </c>
      <c r="K551">
        <v>1159.79</v>
      </c>
      <c r="L551">
        <v>6</v>
      </c>
      <c r="M551">
        <v>0.3</v>
      </c>
      <c r="N551">
        <v>208.22</v>
      </c>
      <c r="O551" t="str">
        <f t="shared" si="8"/>
        <v>Feb-2024</v>
      </c>
    </row>
    <row r="552" spans="1:15" x14ac:dyDescent="0.25">
      <c r="A552" t="s">
        <v>736</v>
      </c>
      <c r="B552" s="2">
        <v>45553</v>
      </c>
      <c r="C552" s="2">
        <v>45559</v>
      </c>
      <c r="D552" t="s">
        <v>212</v>
      </c>
      <c r="E552" t="s">
        <v>17</v>
      </c>
      <c r="F552" t="s">
        <v>63</v>
      </c>
      <c r="G552" t="s">
        <v>112</v>
      </c>
      <c r="H552" t="s">
        <v>113</v>
      </c>
      <c r="I552" t="s">
        <v>40</v>
      </c>
      <c r="J552" t="s">
        <v>98</v>
      </c>
      <c r="K552">
        <v>677.54</v>
      </c>
      <c r="L552">
        <v>8</v>
      </c>
      <c r="M552">
        <v>0.3</v>
      </c>
      <c r="N552">
        <v>171.14</v>
      </c>
      <c r="O552" t="str">
        <f t="shared" si="8"/>
        <v>Sep-2024</v>
      </c>
    </row>
    <row r="553" spans="1:15" x14ac:dyDescent="0.25">
      <c r="A553" t="s">
        <v>737</v>
      </c>
      <c r="B553" s="2">
        <v>45476</v>
      </c>
      <c r="C553" s="2">
        <v>45479</v>
      </c>
      <c r="D553" t="s">
        <v>54</v>
      </c>
      <c r="E553" t="s">
        <v>80</v>
      </c>
      <c r="F553" t="s">
        <v>26</v>
      </c>
      <c r="G553" t="s">
        <v>27</v>
      </c>
      <c r="H553" t="s">
        <v>28</v>
      </c>
      <c r="I553" t="s">
        <v>29</v>
      </c>
      <c r="J553" t="s">
        <v>77</v>
      </c>
      <c r="K553">
        <v>220.16</v>
      </c>
      <c r="L553">
        <v>1</v>
      </c>
      <c r="M553">
        <v>0.3</v>
      </c>
      <c r="N553">
        <v>-9.06</v>
      </c>
      <c r="O553" t="str">
        <f t="shared" si="8"/>
        <v>Jul-2024</v>
      </c>
    </row>
    <row r="554" spans="1:15" x14ac:dyDescent="0.25">
      <c r="A554" t="s">
        <v>738</v>
      </c>
      <c r="B554" s="2">
        <v>45651</v>
      </c>
      <c r="C554" s="2">
        <v>45653</v>
      </c>
      <c r="D554" t="s">
        <v>152</v>
      </c>
      <c r="E554" t="s">
        <v>25</v>
      </c>
      <c r="F554" t="s">
        <v>33</v>
      </c>
      <c r="G554" t="s">
        <v>34</v>
      </c>
      <c r="H554" t="s">
        <v>35</v>
      </c>
      <c r="I554" t="s">
        <v>21</v>
      </c>
      <c r="J554" t="s">
        <v>22</v>
      </c>
      <c r="K554">
        <v>3332.3</v>
      </c>
      <c r="L554">
        <v>5</v>
      </c>
      <c r="M554">
        <v>0</v>
      </c>
      <c r="N554">
        <v>200.65</v>
      </c>
      <c r="O554" t="str">
        <f t="shared" si="8"/>
        <v>Dec-2024</v>
      </c>
    </row>
    <row r="555" spans="1:15" x14ac:dyDescent="0.25">
      <c r="A555" t="s">
        <v>739</v>
      </c>
      <c r="B555" s="2">
        <v>45416</v>
      </c>
      <c r="C555" s="2">
        <v>45422</v>
      </c>
      <c r="D555" t="s">
        <v>321</v>
      </c>
      <c r="E555" t="s">
        <v>80</v>
      </c>
      <c r="F555" t="s">
        <v>18</v>
      </c>
      <c r="G555" t="s">
        <v>19</v>
      </c>
      <c r="H555" t="s">
        <v>20</v>
      </c>
      <c r="I555" t="s">
        <v>21</v>
      </c>
      <c r="J555" t="s">
        <v>103</v>
      </c>
      <c r="K555">
        <v>3370.01</v>
      </c>
      <c r="L555">
        <v>2</v>
      </c>
      <c r="M555">
        <v>0.3</v>
      </c>
      <c r="N555">
        <v>779.84</v>
      </c>
      <c r="O555" t="str">
        <f t="shared" si="8"/>
        <v>May-2024</v>
      </c>
    </row>
    <row r="556" spans="1:15" x14ac:dyDescent="0.25">
      <c r="A556" t="s">
        <v>740</v>
      </c>
      <c r="B556" s="2">
        <v>45551</v>
      </c>
      <c r="C556" s="2">
        <v>45554</v>
      </c>
      <c r="D556" t="s">
        <v>164</v>
      </c>
      <c r="E556" t="s">
        <v>17</v>
      </c>
      <c r="F556" t="s">
        <v>33</v>
      </c>
      <c r="G556" t="s">
        <v>165</v>
      </c>
      <c r="H556" t="s">
        <v>166</v>
      </c>
      <c r="I556" t="s">
        <v>29</v>
      </c>
      <c r="J556" t="s">
        <v>55</v>
      </c>
      <c r="K556">
        <v>516.51</v>
      </c>
      <c r="L556">
        <v>2</v>
      </c>
      <c r="M556">
        <v>0.2</v>
      </c>
      <c r="N556">
        <v>96.09</v>
      </c>
      <c r="O556" t="str">
        <f t="shared" si="8"/>
        <v>Sep-2024</v>
      </c>
    </row>
    <row r="557" spans="1:15" x14ac:dyDescent="0.25">
      <c r="A557" t="s">
        <v>741</v>
      </c>
      <c r="B557" s="2">
        <v>45367</v>
      </c>
      <c r="C557" s="2">
        <v>45370</v>
      </c>
      <c r="D557" t="s">
        <v>102</v>
      </c>
      <c r="E557" t="s">
        <v>17</v>
      </c>
      <c r="F557" t="s">
        <v>63</v>
      </c>
      <c r="G557" t="s">
        <v>64</v>
      </c>
      <c r="H557" t="s">
        <v>65</v>
      </c>
      <c r="I557" t="s">
        <v>21</v>
      </c>
      <c r="J557" t="s">
        <v>60</v>
      </c>
      <c r="K557">
        <v>1482.77</v>
      </c>
      <c r="L557">
        <v>7</v>
      </c>
      <c r="M557">
        <v>0.1</v>
      </c>
      <c r="N557">
        <v>222.11</v>
      </c>
      <c r="O557" t="str">
        <f t="shared" si="8"/>
        <v>Mar-2024</v>
      </c>
    </row>
    <row r="558" spans="1:15" x14ac:dyDescent="0.25">
      <c r="A558" t="s">
        <v>742</v>
      </c>
      <c r="B558" s="2">
        <v>45795</v>
      </c>
      <c r="C558" s="2">
        <v>45797</v>
      </c>
      <c r="D558" t="s">
        <v>182</v>
      </c>
      <c r="E558" t="s">
        <v>17</v>
      </c>
      <c r="F558" t="s">
        <v>18</v>
      </c>
      <c r="G558" t="s">
        <v>81</v>
      </c>
      <c r="H558" t="s">
        <v>82</v>
      </c>
      <c r="I558" t="s">
        <v>40</v>
      </c>
      <c r="J558" t="s">
        <v>41</v>
      </c>
      <c r="K558">
        <v>38.5</v>
      </c>
      <c r="L558">
        <v>3</v>
      </c>
      <c r="M558">
        <v>0.2</v>
      </c>
      <c r="N558">
        <v>7.61</v>
      </c>
      <c r="O558" t="str">
        <f t="shared" si="8"/>
        <v>May-2025</v>
      </c>
    </row>
    <row r="559" spans="1:15" x14ac:dyDescent="0.25">
      <c r="A559" t="s">
        <v>743</v>
      </c>
      <c r="B559" s="2">
        <v>45400</v>
      </c>
      <c r="C559" s="2">
        <v>45404</v>
      </c>
      <c r="D559" t="s">
        <v>210</v>
      </c>
      <c r="E559" t="s">
        <v>80</v>
      </c>
      <c r="F559" t="s">
        <v>26</v>
      </c>
      <c r="G559" t="s">
        <v>27</v>
      </c>
      <c r="H559" t="s">
        <v>28</v>
      </c>
      <c r="I559" t="s">
        <v>40</v>
      </c>
      <c r="J559" t="s">
        <v>41</v>
      </c>
      <c r="K559">
        <v>36.9</v>
      </c>
      <c r="L559">
        <v>2</v>
      </c>
      <c r="M559">
        <v>0</v>
      </c>
      <c r="N559">
        <v>2.65</v>
      </c>
      <c r="O559" t="str">
        <f t="shared" si="8"/>
        <v>Apr-2024</v>
      </c>
    </row>
    <row r="560" spans="1:15" x14ac:dyDescent="0.25">
      <c r="A560" t="s">
        <v>744</v>
      </c>
      <c r="B560" s="2">
        <v>45947</v>
      </c>
      <c r="C560" s="2">
        <v>45948</v>
      </c>
      <c r="D560" t="s">
        <v>127</v>
      </c>
      <c r="E560" t="s">
        <v>80</v>
      </c>
      <c r="F560" t="s">
        <v>63</v>
      </c>
      <c r="G560" t="s">
        <v>64</v>
      </c>
      <c r="H560" t="s">
        <v>65</v>
      </c>
      <c r="I560" t="s">
        <v>29</v>
      </c>
      <c r="J560" t="s">
        <v>30</v>
      </c>
      <c r="K560">
        <v>984.27</v>
      </c>
      <c r="L560">
        <v>7</v>
      </c>
      <c r="M560">
        <v>0</v>
      </c>
      <c r="N560">
        <v>93.98</v>
      </c>
      <c r="O560" t="str">
        <f t="shared" si="8"/>
        <v>Oct-2025</v>
      </c>
    </row>
    <row r="561" spans="1:15" x14ac:dyDescent="0.25">
      <c r="A561" t="s">
        <v>745</v>
      </c>
      <c r="B561" s="2">
        <v>45794</v>
      </c>
      <c r="C561" s="2">
        <v>45798</v>
      </c>
      <c r="D561" t="s">
        <v>189</v>
      </c>
      <c r="E561" t="s">
        <v>80</v>
      </c>
      <c r="F561" t="s">
        <v>63</v>
      </c>
      <c r="G561" t="s">
        <v>64</v>
      </c>
      <c r="H561" t="s">
        <v>65</v>
      </c>
      <c r="I561" t="s">
        <v>21</v>
      </c>
      <c r="J561" t="s">
        <v>22</v>
      </c>
      <c r="K561">
        <v>715.1</v>
      </c>
      <c r="L561">
        <v>2</v>
      </c>
      <c r="M561">
        <v>0.15</v>
      </c>
      <c r="N561">
        <v>84.21</v>
      </c>
      <c r="O561" t="str">
        <f t="shared" si="8"/>
        <v>May-2025</v>
      </c>
    </row>
    <row r="562" spans="1:15" x14ac:dyDescent="0.25">
      <c r="A562" t="s">
        <v>746</v>
      </c>
      <c r="B562" s="2">
        <v>45602</v>
      </c>
      <c r="C562" s="2">
        <v>45606</v>
      </c>
      <c r="D562" t="s">
        <v>375</v>
      </c>
      <c r="E562" t="s">
        <v>80</v>
      </c>
      <c r="F562" t="s">
        <v>33</v>
      </c>
      <c r="G562" t="s">
        <v>131</v>
      </c>
      <c r="H562" t="s">
        <v>132</v>
      </c>
      <c r="I562" t="s">
        <v>29</v>
      </c>
      <c r="J562" t="s">
        <v>77</v>
      </c>
      <c r="K562">
        <v>225.26</v>
      </c>
      <c r="L562">
        <v>2</v>
      </c>
      <c r="M562">
        <v>0</v>
      </c>
      <c r="N562">
        <v>4.3899999999999997</v>
      </c>
      <c r="O562" t="str">
        <f t="shared" si="8"/>
        <v>Nov-2024</v>
      </c>
    </row>
    <row r="563" spans="1:15" x14ac:dyDescent="0.25">
      <c r="A563" t="s">
        <v>747</v>
      </c>
      <c r="B563" s="2">
        <v>45472</v>
      </c>
      <c r="C563" s="2">
        <v>45477</v>
      </c>
      <c r="D563" t="s">
        <v>235</v>
      </c>
      <c r="E563" t="s">
        <v>17</v>
      </c>
      <c r="F563" t="s">
        <v>63</v>
      </c>
      <c r="G563" t="s">
        <v>149</v>
      </c>
      <c r="H563" t="s">
        <v>150</v>
      </c>
      <c r="I563" t="s">
        <v>40</v>
      </c>
      <c r="J563" t="s">
        <v>98</v>
      </c>
      <c r="K563">
        <v>97.83</v>
      </c>
      <c r="L563">
        <v>7</v>
      </c>
      <c r="M563">
        <v>0.2</v>
      </c>
      <c r="N563">
        <v>10.5</v>
      </c>
      <c r="O563" t="str">
        <f t="shared" si="8"/>
        <v>Jun-2024</v>
      </c>
    </row>
    <row r="564" spans="1:15" x14ac:dyDescent="0.25">
      <c r="A564" t="s">
        <v>748</v>
      </c>
      <c r="B564" s="2">
        <v>45939</v>
      </c>
      <c r="C564" s="2">
        <v>45943</v>
      </c>
      <c r="D564" t="s">
        <v>160</v>
      </c>
      <c r="E564" t="s">
        <v>17</v>
      </c>
      <c r="F564" t="s">
        <v>33</v>
      </c>
      <c r="G564" t="s">
        <v>34</v>
      </c>
      <c r="H564" t="s">
        <v>35</v>
      </c>
      <c r="I564" t="s">
        <v>21</v>
      </c>
      <c r="J564" t="s">
        <v>60</v>
      </c>
      <c r="K564">
        <v>669.72</v>
      </c>
      <c r="L564">
        <v>3</v>
      </c>
      <c r="M564">
        <v>0</v>
      </c>
      <c r="N564">
        <v>72.28</v>
      </c>
      <c r="O564" t="str">
        <f t="shared" si="8"/>
        <v>Oct-2025</v>
      </c>
    </row>
    <row r="565" spans="1:15" x14ac:dyDescent="0.25">
      <c r="A565" t="s">
        <v>749</v>
      </c>
      <c r="B565" s="2">
        <v>45950</v>
      </c>
      <c r="C565" s="2">
        <v>45953</v>
      </c>
      <c r="D565" t="s">
        <v>208</v>
      </c>
      <c r="E565" t="s">
        <v>80</v>
      </c>
      <c r="F565" t="s">
        <v>26</v>
      </c>
      <c r="G565" t="s">
        <v>96</v>
      </c>
      <c r="H565" t="s">
        <v>97</v>
      </c>
      <c r="I565" t="s">
        <v>40</v>
      </c>
      <c r="J565" t="s">
        <v>48</v>
      </c>
      <c r="K565">
        <v>167.92</v>
      </c>
      <c r="L565">
        <v>8</v>
      </c>
      <c r="M565">
        <v>0</v>
      </c>
      <c r="N565">
        <v>10.26</v>
      </c>
      <c r="O565" t="str">
        <f t="shared" si="8"/>
        <v>Oct-2025</v>
      </c>
    </row>
    <row r="566" spans="1:15" x14ac:dyDescent="0.25">
      <c r="A566" t="s">
        <v>750</v>
      </c>
      <c r="B566" s="2">
        <v>45508</v>
      </c>
      <c r="C566" s="2">
        <v>45515</v>
      </c>
      <c r="D566" t="s">
        <v>241</v>
      </c>
      <c r="E566" t="s">
        <v>17</v>
      </c>
      <c r="F566" t="s">
        <v>18</v>
      </c>
      <c r="G566" t="s">
        <v>81</v>
      </c>
      <c r="H566" t="s">
        <v>82</v>
      </c>
      <c r="I566" t="s">
        <v>21</v>
      </c>
      <c r="J566" t="s">
        <v>22</v>
      </c>
      <c r="K566">
        <v>3876.93</v>
      </c>
      <c r="L566">
        <v>8</v>
      </c>
      <c r="M566">
        <v>0.2</v>
      </c>
      <c r="N566">
        <v>1205.96</v>
      </c>
      <c r="O566" t="str">
        <f t="shared" si="8"/>
        <v>Aug-2024</v>
      </c>
    </row>
    <row r="567" spans="1:15" x14ac:dyDescent="0.25">
      <c r="A567" t="s">
        <v>751</v>
      </c>
      <c r="B567" s="2">
        <v>45436</v>
      </c>
      <c r="C567" s="2">
        <v>45440</v>
      </c>
      <c r="D567" t="s">
        <v>100</v>
      </c>
      <c r="E567" t="s">
        <v>80</v>
      </c>
      <c r="F567" t="s">
        <v>26</v>
      </c>
      <c r="G567" t="s">
        <v>27</v>
      </c>
      <c r="H567" t="s">
        <v>28</v>
      </c>
      <c r="I567" t="s">
        <v>29</v>
      </c>
      <c r="J567" t="s">
        <v>55</v>
      </c>
      <c r="K567">
        <v>2855.93</v>
      </c>
      <c r="L567">
        <v>8</v>
      </c>
      <c r="M567">
        <v>0.15</v>
      </c>
      <c r="N567">
        <v>182.04</v>
      </c>
      <c r="O567" t="str">
        <f t="shared" si="8"/>
        <v>May-2024</v>
      </c>
    </row>
    <row r="568" spans="1:15" x14ac:dyDescent="0.25">
      <c r="A568" t="s">
        <v>752</v>
      </c>
      <c r="B568" s="2">
        <v>45759</v>
      </c>
      <c r="C568" s="2">
        <v>45764</v>
      </c>
      <c r="D568" t="s">
        <v>148</v>
      </c>
      <c r="E568" t="s">
        <v>17</v>
      </c>
      <c r="F568" t="s">
        <v>26</v>
      </c>
      <c r="G568" t="s">
        <v>51</v>
      </c>
      <c r="H568" t="s">
        <v>52</v>
      </c>
      <c r="I568" t="s">
        <v>29</v>
      </c>
      <c r="J568" t="s">
        <v>55</v>
      </c>
      <c r="K568">
        <v>236.26</v>
      </c>
      <c r="L568">
        <v>2</v>
      </c>
      <c r="M568">
        <v>0.3</v>
      </c>
      <c r="N568">
        <v>69.75</v>
      </c>
      <c r="O568" t="str">
        <f t="shared" si="8"/>
        <v>Apr-2025</v>
      </c>
    </row>
    <row r="569" spans="1:15" x14ac:dyDescent="0.25">
      <c r="A569" t="s">
        <v>753</v>
      </c>
      <c r="B569" s="2">
        <v>45728</v>
      </c>
      <c r="C569" s="2">
        <v>45731</v>
      </c>
      <c r="D569" t="s">
        <v>95</v>
      </c>
      <c r="E569" t="s">
        <v>17</v>
      </c>
      <c r="F569" t="s">
        <v>18</v>
      </c>
      <c r="G569" t="s">
        <v>58</v>
      </c>
      <c r="H569" t="s">
        <v>59</v>
      </c>
      <c r="I569" t="s">
        <v>21</v>
      </c>
      <c r="J569" t="s">
        <v>103</v>
      </c>
      <c r="K569">
        <v>14597.45</v>
      </c>
      <c r="L569">
        <v>7</v>
      </c>
      <c r="M569">
        <v>0</v>
      </c>
      <c r="N569">
        <v>1258.8900000000001</v>
      </c>
      <c r="O569" t="str">
        <f t="shared" si="8"/>
        <v>Mar-2025</v>
      </c>
    </row>
    <row r="570" spans="1:15" x14ac:dyDescent="0.25">
      <c r="A570" t="s">
        <v>754</v>
      </c>
      <c r="B570" s="2">
        <v>45635</v>
      </c>
      <c r="C570" s="2">
        <v>45636</v>
      </c>
      <c r="D570" t="s">
        <v>438</v>
      </c>
      <c r="E570" t="s">
        <v>17</v>
      </c>
      <c r="F570" t="s">
        <v>26</v>
      </c>
      <c r="G570" t="s">
        <v>75</v>
      </c>
      <c r="H570" t="s">
        <v>76</v>
      </c>
      <c r="I570" t="s">
        <v>29</v>
      </c>
      <c r="J570" t="s">
        <v>55</v>
      </c>
      <c r="K570">
        <v>299.86</v>
      </c>
      <c r="L570">
        <v>3</v>
      </c>
      <c r="M570">
        <v>0.3</v>
      </c>
      <c r="N570">
        <v>52.34</v>
      </c>
      <c r="O570" t="str">
        <f t="shared" si="8"/>
        <v>Dec-2024</v>
      </c>
    </row>
    <row r="571" spans="1:15" x14ac:dyDescent="0.25">
      <c r="A571" t="s">
        <v>755</v>
      </c>
      <c r="B571" s="2">
        <v>45333</v>
      </c>
      <c r="C571" s="2">
        <v>45335</v>
      </c>
      <c r="D571" t="s">
        <v>24</v>
      </c>
      <c r="E571" t="s">
        <v>80</v>
      </c>
      <c r="F571" t="s">
        <v>63</v>
      </c>
      <c r="G571" t="s">
        <v>106</v>
      </c>
      <c r="H571" t="s">
        <v>107</v>
      </c>
      <c r="I571" t="s">
        <v>29</v>
      </c>
      <c r="J571" t="s">
        <v>30</v>
      </c>
      <c r="K571">
        <v>117.6</v>
      </c>
      <c r="L571">
        <v>7</v>
      </c>
      <c r="M571">
        <v>0.3</v>
      </c>
      <c r="N571">
        <v>11.45</v>
      </c>
      <c r="O571" t="str">
        <f t="shared" si="8"/>
        <v>Feb-2024</v>
      </c>
    </row>
    <row r="572" spans="1:15" x14ac:dyDescent="0.25">
      <c r="A572" t="s">
        <v>756</v>
      </c>
      <c r="B572" s="2">
        <v>46015</v>
      </c>
      <c r="C572" s="2">
        <v>46021</v>
      </c>
      <c r="D572" t="s">
        <v>386</v>
      </c>
      <c r="E572" t="s">
        <v>17</v>
      </c>
      <c r="F572" t="s">
        <v>33</v>
      </c>
      <c r="G572" t="s">
        <v>34</v>
      </c>
      <c r="H572" t="s">
        <v>35</v>
      </c>
      <c r="I572" t="s">
        <v>29</v>
      </c>
      <c r="J572" t="s">
        <v>55</v>
      </c>
      <c r="K572">
        <v>1749.33</v>
      </c>
      <c r="L572">
        <v>5</v>
      </c>
      <c r="M572">
        <v>0.1</v>
      </c>
      <c r="N572">
        <v>451.42</v>
      </c>
      <c r="O572" t="str">
        <f t="shared" si="8"/>
        <v>Dec-2025</v>
      </c>
    </row>
    <row r="573" spans="1:15" x14ac:dyDescent="0.25">
      <c r="A573" t="s">
        <v>757</v>
      </c>
      <c r="B573" s="2">
        <v>45827</v>
      </c>
      <c r="C573" s="2">
        <v>45831</v>
      </c>
      <c r="D573" t="s">
        <v>186</v>
      </c>
      <c r="E573" t="s">
        <v>25</v>
      </c>
      <c r="F573" t="s">
        <v>33</v>
      </c>
      <c r="G573" t="s">
        <v>38</v>
      </c>
      <c r="H573" t="s">
        <v>39</v>
      </c>
      <c r="I573" t="s">
        <v>29</v>
      </c>
      <c r="J573" t="s">
        <v>87</v>
      </c>
      <c r="K573">
        <v>1095.56</v>
      </c>
      <c r="L573">
        <v>3</v>
      </c>
      <c r="M573">
        <v>0.15</v>
      </c>
      <c r="N573">
        <v>43.73</v>
      </c>
      <c r="O573" t="str">
        <f t="shared" si="8"/>
        <v>Jun-2025</v>
      </c>
    </row>
    <row r="574" spans="1:15" x14ac:dyDescent="0.25">
      <c r="A574" t="s">
        <v>758</v>
      </c>
      <c r="B574" s="2">
        <v>45648</v>
      </c>
      <c r="C574" s="2">
        <v>45652</v>
      </c>
      <c r="D574" t="s">
        <v>125</v>
      </c>
      <c r="E574" t="s">
        <v>25</v>
      </c>
      <c r="F574" t="s">
        <v>26</v>
      </c>
      <c r="G574" t="s">
        <v>96</v>
      </c>
      <c r="H574" t="s">
        <v>97</v>
      </c>
      <c r="I574" t="s">
        <v>21</v>
      </c>
      <c r="J574" t="s">
        <v>22</v>
      </c>
      <c r="K574">
        <v>215.52</v>
      </c>
      <c r="L574">
        <v>4</v>
      </c>
      <c r="M574">
        <v>0</v>
      </c>
      <c r="N574">
        <v>18.37</v>
      </c>
      <c r="O574" t="str">
        <f t="shared" si="8"/>
        <v>Dec-2024</v>
      </c>
    </row>
    <row r="575" spans="1:15" x14ac:dyDescent="0.25">
      <c r="A575" t="s">
        <v>759</v>
      </c>
      <c r="B575" s="2">
        <v>45767</v>
      </c>
      <c r="C575" s="2">
        <v>45774</v>
      </c>
      <c r="D575" t="s">
        <v>74</v>
      </c>
      <c r="E575" t="s">
        <v>17</v>
      </c>
      <c r="F575" t="s">
        <v>18</v>
      </c>
      <c r="G575" t="s">
        <v>71</v>
      </c>
      <c r="H575" t="s">
        <v>72</v>
      </c>
      <c r="I575" t="s">
        <v>40</v>
      </c>
      <c r="J575" t="s">
        <v>176</v>
      </c>
      <c r="K575">
        <v>39.08</v>
      </c>
      <c r="L575">
        <v>4</v>
      </c>
      <c r="M575">
        <v>0</v>
      </c>
      <c r="N575">
        <v>2.58</v>
      </c>
      <c r="O575" t="str">
        <f t="shared" si="8"/>
        <v>Apr-2025</v>
      </c>
    </row>
    <row r="576" spans="1:15" x14ac:dyDescent="0.25">
      <c r="A576" t="s">
        <v>760</v>
      </c>
      <c r="B576" s="2">
        <v>45455</v>
      </c>
      <c r="C576" s="2">
        <v>45461</v>
      </c>
      <c r="D576" t="s">
        <v>194</v>
      </c>
      <c r="E576" t="s">
        <v>17</v>
      </c>
      <c r="F576" t="s">
        <v>18</v>
      </c>
      <c r="G576" t="s">
        <v>46</v>
      </c>
      <c r="H576" t="s">
        <v>47</v>
      </c>
      <c r="I576" t="s">
        <v>21</v>
      </c>
      <c r="J576" t="s">
        <v>123</v>
      </c>
      <c r="K576">
        <v>1334.83</v>
      </c>
      <c r="L576">
        <v>1</v>
      </c>
      <c r="M576">
        <v>0.2</v>
      </c>
      <c r="N576">
        <v>-3.54</v>
      </c>
      <c r="O576" t="str">
        <f t="shared" si="8"/>
        <v>Jun-2024</v>
      </c>
    </row>
    <row r="577" spans="1:15" x14ac:dyDescent="0.25">
      <c r="A577" t="s">
        <v>761</v>
      </c>
      <c r="B577" s="2">
        <v>45336</v>
      </c>
      <c r="C577" s="2">
        <v>45337</v>
      </c>
      <c r="D577" t="s">
        <v>210</v>
      </c>
      <c r="E577" t="s">
        <v>25</v>
      </c>
      <c r="F577" t="s">
        <v>26</v>
      </c>
      <c r="G577" t="s">
        <v>96</v>
      </c>
      <c r="H577" t="s">
        <v>97</v>
      </c>
      <c r="I577" t="s">
        <v>40</v>
      </c>
      <c r="J577" t="s">
        <v>98</v>
      </c>
      <c r="K577">
        <v>452.04</v>
      </c>
      <c r="L577">
        <v>3</v>
      </c>
      <c r="M577">
        <v>0</v>
      </c>
      <c r="N577">
        <v>129.12</v>
      </c>
      <c r="O577" t="str">
        <f t="shared" si="8"/>
        <v>Feb-2024</v>
      </c>
    </row>
    <row r="578" spans="1:15" x14ac:dyDescent="0.25">
      <c r="A578" t="s">
        <v>762</v>
      </c>
      <c r="B578" s="2">
        <v>45747</v>
      </c>
      <c r="C578" s="2">
        <v>45752</v>
      </c>
      <c r="D578" t="s">
        <v>285</v>
      </c>
      <c r="E578" t="s">
        <v>80</v>
      </c>
      <c r="F578" t="s">
        <v>33</v>
      </c>
      <c r="G578" t="s">
        <v>165</v>
      </c>
      <c r="H578" t="s">
        <v>166</v>
      </c>
      <c r="I578" t="s">
        <v>29</v>
      </c>
      <c r="J578" t="s">
        <v>55</v>
      </c>
      <c r="K578">
        <v>2670.36</v>
      </c>
      <c r="L578">
        <v>7</v>
      </c>
      <c r="M578">
        <v>0</v>
      </c>
      <c r="N578">
        <v>732.02</v>
      </c>
      <c r="O578" t="str">
        <f t="shared" ref="O578:O601" si="9">TEXT(B578,"mmm-yyyy")</f>
        <v>Mar-2025</v>
      </c>
    </row>
    <row r="579" spans="1:15" x14ac:dyDescent="0.25">
      <c r="A579" t="s">
        <v>763</v>
      </c>
      <c r="B579" s="2">
        <v>45534</v>
      </c>
      <c r="C579" s="2">
        <v>45540</v>
      </c>
      <c r="D579" t="s">
        <v>16</v>
      </c>
      <c r="E579" t="s">
        <v>17</v>
      </c>
      <c r="F579" t="s">
        <v>63</v>
      </c>
      <c r="G579" t="s">
        <v>67</v>
      </c>
      <c r="H579" t="s">
        <v>68</v>
      </c>
      <c r="I579" t="s">
        <v>29</v>
      </c>
      <c r="J579" t="s">
        <v>77</v>
      </c>
      <c r="K579">
        <v>932.98</v>
      </c>
      <c r="L579">
        <v>4</v>
      </c>
      <c r="M579">
        <v>0.1</v>
      </c>
      <c r="N579">
        <v>61.46</v>
      </c>
      <c r="O579" t="str">
        <f t="shared" si="9"/>
        <v>Aug-2024</v>
      </c>
    </row>
    <row r="580" spans="1:15" x14ac:dyDescent="0.25">
      <c r="A580" t="s">
        <v>764</v>
      </c>
      <c r="B580" s="2">
        <v>45440</v>
      </c>
      <c r="C580" s="2">
        <v>45442</v>
      </c>
      <c r="D580" t="s">
        <v>365</v>
      </c>
      <c r="E580" t="s">
        <v>25</v>
      </c>
      <c r="F580" t="s">
        <v>18</v>
      </c>
      <c r="G580" t="s">
        <v>58</v>
      </c>
      <c r="H580" t="s">
        <v>59</v>
      </c>
      <c r="I580" t="s">
        <v>21</v>
      </c>
      <c r="J580" t="s">
        <v>123</v>
      </c>
      <c r="K580">
        <v>13419.28</v>
      </c>
      <c r="L580">
        <v>8</v>
      </c>
      <c r="M580">
        <v>0</v>
      </c>
      <c r="N580">
        <v>4.74</v>
      </c>
      <c r="O580" t="str">
        <f t="shared" si="9"/>
        <v>May-2024</v>
      </c>
    </row>
    <row r="581" spans="1:15" x14ac:dyDescent="0.25">
      <c r="A581" t="s">
        <v>765</v>
      </c>
      <c r="B581" s="2">
        <v>45568</v>
      </c>
      <c r="C581" s="2">
        <v>45570</v>
      </c>
      <c r="D581" t="s">
        <v>125</v>
      </c>
      <c r="E581" t="s">
        <v>25</v>
      </c>
      <c r="F581" t="s">
        <v>26</v>
      </c>
      <c r="G581" t="s">
        <v>96</v>
      </c>
      <c r="H581" t="s">
        <v>97</v>
      </c>
      <c r="I581" t="s">
        <v>21</v>
      </c>
      <c r="J581" t="s">
        <v>103</v>
      </c>
      <c r="K581">
        <v>831.17</v>
      </c>
      <c r="L581">
        <v>1</v>
      </c>
      <c r="M581">
        <v>0.2</v>
      </c>
      <c r="N581">
        <v>183.36</v>
      </c>
      <c r="O581" t="str">
        <f t="shared" si="9"/>
        <v>Oct-2024</v>
      </c>
    </row>
    <row r="582" spans="1:15" x14ac:dyDescent="0.25">
      <c r="A582" t="s">
        <v>766</v>
      </c>
      <c r="B582" s="2">
        <v>45467</v>
      </c>
      <c r="C582" s="2">
        <v>45474</v>
      </c>
      <c r="D582" t="s">
        <v>214</v>
      </c>
      <c r="E582" t="s">
        <v>25</v>
      </c>
      <c r="F582" t="s">
        <v>63</v>
      </c>
      <c r="G582" t="s">
        <v>67</v>
      </c>
      <c r="H582" t="s">
        <v>68</v>
      </c>
      <c r="I582" t="s">
        <v>29</v>
      </c>
      <c r="J582" t="s">
        <v>30</v>
      </c>
      <c r="K582">
        <v>246.92</v>
      </c>
      <c r="L582">
        <v>5</v>
      </c>
      <c r="M582">
        <v>0.15</v>
      </c>
      <c r="N582">
        <v>23.96</v>
      </c>
      <c r="O582" t="str">
        <f t="shared" si="9"/>
        <v>Jun-2024</v>
      </c>
    </row>
    <row r="583" spans="1:15" x14ac:dyDescent="0.25">
      <c r="A583" t="s">
        <v>767</v>
      </c>
      <c r="B583" s="2">
        <v>45826</v>
      </c>
      <c r="C583" s="2">
        <v>45830</v>
      </c>
      <c r="D583" t="s">
        <v>43</v>
      </c>
      <c r="E583" t="s">
        <v>25</v>
      </c>
      <c r="F583" t="s">
        <v>26</v>
      </c>
      <c r="G583" t="s">
        <v>27</v>
      </c>
      <c r="H583" t="s">
        <v>28</v>
      </c>
      <c r="I583" t="s">
        <v>21</v>
      </c>
      <c r="J583" t="s">
        <v>103</v>
      </c>
      <c r="K583">
        <v>7469.26</v>
      </c>
      <c r="L583">
        <v>4</v>
      </c>
      <c r="M583">
        <v>0.15</v>
      </c>
      <c r="N583">
        <v>1434.45</v>
      </c>
      <c r="O583" t="str">
        <f t="shared" si="9"/>
        <v>Jun-2025</v>
      </c>
    </row>
    <row r="584" spans="1:15" x14ac:dyDescent="0.25">
      <c r="A584" t="s">
        <v>768</v>
      </c>
      <c r="B584" s="2">
        <v>45545</v>
      </c>
      <c r="C584" s="2">
        <v>45548</v>
      </c>
      <c r="D584" t="s">
        <v>453</v>
      </c>
      <c r="E584" t="s">
        <v>17</v>
      </c>
      <c r="F584" t="s">
        <v>33</v>
      </c>
      <c r="G584" t="s">
        <v>141</v>
      </c>
      <c r="H584" t="s">
        <v>142</v>
      </c>
      <c r="I584" t="s">
        <v>29</v>
      </c>
      <c r="J584" t="s">
        <v>30</v>
      </c>
      <c r="K584">
        <v>240.69</v>
      </c>
      <c r="L584">
        <v>4</v>
      </c>
      <c r="M584">
        <v>0.15</v>
      </c>
      <c r="N584">
        <v>80.36</v>
      </c>
      <c r="O584" t="str">
        <f t="shared" si="9"/>
        <v>Sep-2024</v>
      </c>
    </row>
    <row r="585" spans="1:15" x14ac:dyDescent="0.25">
      <c r="A585" t="s">
        <v>769</v>
      </c>
      <c r="B585" s="2">
        <v>45808</v>
      </c>
      <c r="C585" s="2">
        <v>45809</v>
      </c>
      <c r="D585" t="s">
        <v>223</v>
      </c>
      <c r="E585" t="s">
        <v>80</v>
      </c>
      <c r="F585" t="s">
        <v>18</v>
      </c>
      <c r="G585" t="s">
        <v>58</v>
      </c>
      <c r="H585" t="s">
        <v>59</v>
      </c>
      <c r="I585" t="s">
        <v>29</v>
      </c>
      <c r="J585" t="s">
        <v>55</v>
      </c>
      <c r="K585">
        <v>1898.57</v>
      </c>
      <c r="L585">
        <v>7</v>
      </c>
      <c r="M585">
        <v>0.1</v>
      </c>
      <c r="N585">
        <v>556.12</v>
      </c>
      <c r="O585" t="str">
        <f t="shared" si="9"/>
        <v>May-2025</v>
      </c>
    </row>
    <row r="586" spans="1:15" x14ac:dyDescent="0.25">
      <c r="A586" t="s">
        <v>770</v>
      </c>
      <c r="B586" s="2">
        <v>45304</v>
      </c>
      <c r="C586" s="2">
        <v>45310</v>
      </c>
      <c r="D586" t="s">
        <v>283</v>
      </c>
      <c r="E586" t="s">
        <v>80</v>
      </c>
      <c r="F586" t="s">
        <v>18</v>
      </c>
      <c r="G586" t="s">
        <v>58</v>
      </c>
      <c r="H586" t="s">
        <v>59</v>
      </c>
      <c r="I586" t="s">
        <v>40</v>
      </c>
      <c r="J586" t="s">
        <v>41</v>
      </c>
      <c r="K586">
        <v>75.319999999999993</v>
      </c>
      <c r="L586">
        <v>4</v>
      </c>
      <c r="M586">
        <v>0</v>
      </c>
      <c r="N586">
        <v>11.86</v>
      </c>
      <c r="O586" t="str">
        <f t="shared" si="9"/>
        <v>Jan-2024</v>
      </c>
    </row>
    <row r="587" spans="1:15" x14ac:dyDescent="0.25">
      <c r="A587" t="s">
        <v>771</v>
      </c>
      <c r="B587" s="2">
        <v>45457</v>
      </c>
      <c r="C587" s="2">
        <v>45463</v>
      </c>
      <c r="D587" t="s">
        <v>86</v>
      </c>
      <c r="E587" t="s">
        <v>25</v>
      </c>
      <c r="F587" t="s">
        <v>26</v>
      </c>
      <c r="G587" t="s">
        <v>51</v>
      </c>
      <c r="H587" t="s">
        <v>52</v>
      </c>
      <c r="I587" t="s">
        <v>29</v>
      </c>
      <c r="J587" t="s">
        <v>30</v>
      </c>
      <c r="K587">
        <v>66.87</v>
      </c>
      <c r="L587">
        <v>1</v>
      </c>
      <c r="M587">
        <v>0.1</v>
      </c>
      <c r="N587">
        <v>12.65</v>
      </c>
      <c r="O587" t="str">
        <f t="shared" si="9"/>
        <v>Jun-2024</v>
      </c>
    </row>
    <row r="588" spans="1:15" x14ac:dyDescent="0.25">
      <c r="A588" t="s">
        <v>772</v>
      </c>
      <c r="B588" s="2">
        <v>46012</v>
      </c>
      <c r="C588" s="2">
        <v>46018</v>
      </c>
      <c r="D588" t="s">
        <v>125</v>
      </c>
      <c r="E588" t="s">
        <v>25</v>
      </c>
      <c r="F588" t="s">
        <v>26</v>
      </c>
      <c r="G588" t="s">
        <v>96</v>
      </c>
      <c r="H588" t="s">
        <v>97</v>
      </c>
      <c r="I588" t="s">
        <v>29</v>
      </c>
      <c r="J588" t="s">
        <v>77</v>
      </c>
      <c r="K588">
        <v>163.01</v>
      </c>
      <c r="L588">
        <v>2</v>
      </c>
      <c r="M588">
        <v>0.1</v>
      </c>
      <c r="N588">
        <v>10.78</v>
      </c>
      <c r="O588" t="str">
        <f t="shared" si="9"/>
        <v>Dec-2025</v>
      </c>
    </row>
    <row r="589" spans="1:15" x14ac:dyDescent="0.25">
      <c r="A589" t="s">
        <v>773</v>
      </c>
      <c r="B589" s="2">
        <v>46006</v>
      </c>
      <c r="C589" s="2">
        <v>46011</v>
      </c>
      <c r="D589" t="s">
        <v>175</v>
      </c>
      <c r="E589" t="s">
        <v>25</v>
      </c>
      <c r="F589" t="s">
        <v>63</v>
      </c>
      <c r="G589" t="s">
        <v>106</v>
      </c>
      <c r="H589" t="s">
        <v>107</v>
      </c>
      <c r="I589" t="s">
        <v>29</v>
      </c>
      <c r="J589" t="s">
        <v>77</v>
      </c>
      <c r="K589">
        <v>874.72</v>
      </c>
      <c r="L589">
        <v>4</v>
      </c>
      <c r="M589">
        <v>0.3</v>
      </c>
      <c r="N589">
        <v>34.119999999999997</v>
      </c>
      <c r="O589" t="str">
        <f t="shared" si="9"/>
        <v>Dec-2025</v>
      </c>
    </row>
    <row r="590" spans="1:15" x14ac:dyDescent="0.25">
      <c r="A590" t="s">
        <v>774</v>
      </c>
      <c r="B590" s="2">
        <v>45684</v>
      </c>
      <c r="C590" s="2">
        <v>45687</v>
      </c>
      <c r="D590" t="s">
        <v>365</v>
      </c>
      <c r="E590" t="s">
        <v>17</v>
      </c>
      <c r="F590" t="s">
        <v>63</v>
      </c>
      <c r="G590" t="s">
        <v>149</v>
      </c>
      <c r="H590" t="s">
        <v>150</v>
      </c>
      <c r="I590" t="s">
        <v>21</v>
      </c>
      <c r="J590" t="s">
        <v>60</v>
      </c>
      <c r="K590">
        <v>144.94999999999999</v>
      </c>
      <c r="L590">
        <v>1</v>
      </c>
      <c r="M590">
        <v>0</v>
      </c>
      <c r="N590">
        <v>23.18</v>
      </c>
      <c r="O590" t="str">
        <f t="shared" si="9"/>
        <v>Jan-2025</v>
      </c>
    </row>
    <row r="591" spans="1:15" x14ac:dyDescent="0.25">
      <c r="A591" t="s">
        <v>775</v>
      </c>
      <c r="B591" s="2">
        <v>45536</v>
      </c>
      <c r="C591" s="2">
        <v>45541</v>
      </c>
      <c r="D591" t="s">
        <v>70</v>
      </c>
      <c r="E591" t="s">
        <v>25</v>
      </c>
      <c r="F591" t="s">
        <v>18</v>
      </c>
      <c r="G591" t="s">
        <v>71</v>
      </c>
      <c r="H591" t="s">
        <v>72</v>
      </c>
      <c r="I591" t="s">
        <v>21</v>
      </c>
      <c r="J591" t="s">
        <v>103</v>
      </c>
      <c r="K591">
        <v>3518.91</v>
      </c>
      <c r="L591">
        <v>8</v>
      </c>
      <c r="M591">
        <v>0.2</v>
      </c>
      <c r="N591">
        <v>1167.3800000000001</v>
      </c>
      <c r="O591" t="str">
        <f t="shared" si="9"/>
        <v>Sep-2024</v>
      </c>
    </row>
    <row r="592" spans="1:15" x14ac:dyDescent="0.25">
      <c r="A592" t="s">
        <v>776</v>
      </c>
      <c r="B592" s="2">
        <v>45988</v>
      </c>
      <c r="C592" s="2">
        <v>45992</v>
      </c>
      <c r="D592" t="s">
        <v>279</v>
      </c>
      <c r="E592" t="s">
        <v>80</v>
      </c>
      <c r="F592" t="s">
        <v>26</v>
      </c>
      <c r="G592" t="s">
        <v>90</v>
      </c>
      <c r="H592" t="s">
        <v>91</v>
      </c>
      <c r="I592" t="s">
        <v>40</v>
      </c>
      <c r="J592" t="s">
        <v>98</v>
      </c>
      <c r="K592">
        <v>125.32</v>
      </c>
      <c r="L592">
        <v>2</v>
      </c>
      <c r="M592">
        <v>0</v>
      </c>
      <c r="N592">
        <v>19.25</v>
      </c>
      <c r="O592" t="str">
        <f t="shared" si="9"/>
        <v>Nov-2025</v>
      </c>
    </row>
    <row r="593" spans="1:15" x14ac:dyDescent="0.25">
      <c r="A593" t="s">
        <v>777</v>
      </c>
      <c r="B593" s="2">
        <v>45836</v>
      </c>
      <c r="C593" s="2">
        <v>45842</v>
      </c>
      <c r="D593" t="s">
        <v>223</v>
      </c>
      <c r="E593" t="s">
        <v>80</v>
      </c>
      <c r="F593" t="s">
        <v>33</v>
      </c>
      <c r="G593" t="s">
        <v>165</v>
      </c>
      <c r="H593" t="s">
        <v>166</v>
      </c>
      <c r="I593" t="s">
        <v>21</v>
      </c>
      <c r="J593" t="s">
        <v>22</v>
      </c>
      <c r="K593">
        <v>3382.07</v>
      </c>
      <c r="L593">
        <v>5</v>
      </c>
      <c r="M593">
        <v>0.1</v>
      </c>
      <c r="N593">
        <v>799.13</v>
      </c>
      <c r="O593" t="str">
        <f t="shared" si="9"/>
        <v>Jun-2025</v>
      </c>
    </row>
    <row r="594" spans="1:15" x14ac:dyDescent="0.25">
      <c r="A594" t="s">
        <v>778</v>
      </c>
      <c r="B594" s="2">
        <v>45475</v>
      </c>
      <c r="C594" s="2">
        <v>45478</v>
      </c>
      <c r="D594" t="s">
        <v>283</v>
      </c>
      <c r="E594" t="s">
        <v>25</v>
      </c>
      <c r="F594" t="s">
        <v>18</v>
      </c>
      <c r="G594" t="s">
        <v>46</v>
      </c>
      <c r="H594" t="s">
        <v>47</v>
      </c>
      <c r="I594" t="s">
        <v>40</v>
      </c>
      <c r="J594" t="s">
        <v>48</v>
      </c>
      <c r="K594">
        <v>76.819999999999993</v>
      </c>
      <c r="L594">
        <v>2</v>
      </c>
      <c r="M594">
        <v>0</v>
      </c>
      <c r="N594">
        <v>7.64</v>
      </c>
      <c r="O594" t="str">
        <f t="shared" si="9"/>
        <v>Jul-2024</v>
      </c>
    </row>
    <row r="595" spans="1:15" x14ac:dyDescent="0.25">
      <c r="A595" t="s">
        <v>779</v>
      </c>
      <c r="B595" s="2">
        <v>45934</v>
      </c>
      <c r="C595" s="2">
        <v>45935</v>
      </c>
      <c r="D595" t="s">
        <v>420</v>
      </c>
      <c r="E595" t="s">
        <v>80</v>
      </c>
      <c r="F595" t="s">
        <v>18</v>
      </c>
      <c r="G595" t="s">
        <v>46</v>
      </c>
      <c r="H595" t="s">
        <v>47</v>
      </c>
      <c r="I595" t="s">
        <v>40</v>
      </c>
      <c r="J595" t="s">
        <v>41</v>
      </c>
      <c r="K595">
        <v>23.6</v>
      </c>
      <c r="L595">
        <v>3</v>
      </c>
      <c r="M595">
        <v>0.1</v>
      </c>
      <c r="N595">
        <v>3.63</v>
      </c>
      <c r="O595" t="str">
        <f t="shared" si="9"/>
        <v>Oct-2025</v>
      </c>
    </row>
    <row r="596" spans="1:15" x14ac:dyDescent="0.25">
      <c r="A596" t="s">
        <v>780</v>
      </c>
      <c r="B596" s="2">
        <v>45529</v>
      </c>
      <c r="C596" s="2">
        <v>45536</v>
      </c>
      <c r="D596" t="s">
        <v>95</v>
      </c>
      <c r="E596" t="s">
        <v>17</v>
      </c>
      <c r="F596" t="s">
        <v>33</v>
      </c>
      <c r="G596" t="s">
        <v>34</v>
      </c>
      <c r="H596" t="s">
        <v>35</v>
      </c>
      <c r="I596" t="s">
        <v>40</v>
      </c>
      <c r="J596" t="s">
        <v>41</v>
      </c>
      <c r="K596">
        <v>128.47</v>
      </c>
      <c r="L596">
        <v>6</v>
      </c>
      <c r="M596">
        <v>0.1</v>
      </c>
      <c r="N596">
        <v>28.73</v>
      </c>
      <c r="O596" t="str">
        <f t="shared" si="9"/>
        <v>Aug-2024</v>
      </c>
    </row>
    <row r="597" spans="1:15" x14ac:dyDescent="0.25">
      <c r="A597" t="s">
        <v>781</v>
      </c>
      <c r="B597" s="2">
        <v>45872</v>
      </c>
      <c r="C597" s="2">
        <v>45874</v>
      </c>
      <c r="D597" t="s">
        <v>214</v>
      </c>
      <c r="E597" t="s">
        <v>25</v>
      </c>
      <c r="F597" t="s">
        <v>63</v>
      </c>
      <c r="G597" t="s">
        <v>64</v>
      </c>
      <c r="H597" t="s">
        <v>65</v>
      </c>
      <c r="I597" t="s">
        <v>21</v>
      </c>
      <c r="J597" t="s">
        <v>123</v>
      </c>
      <c r="K597">
        <v>8135.4</v>
      </c>
      <c r="L597">
        <v>5</v>
      </c>
      <c r="M597">
        <v>0</v>
      </c>
      <c r="N597">
        <v>427.96</v>
      </c>
      <c r="O597" t="str">
        <f t="shared" si="9"/>
        <v>Aug-2025</v>
      </c>
    </row>
    <row r="598" spans="1:15" x14ac:dyDescent="0.25">
      <c r="A598" t="s">
        <v>782</v>
      </c>
      <c r="B598" s="2">
        <v>45443</v>
      </c>
      <c r="C598" s="2">
        <v>45446</v>
      </c>
      <c r="D598" t="s">
        <v>146</v>
      </c>
      <c r="E598" t="s">
        <v>17</v>
      </c>
      <c r="F598" t="s">
        <v>26</v>
      </c>
      <c r="G598" t="s">
        <v>96</v>
      </c>
      <c r="H598" t="s">
        <v>97</v>
      </c>
      <c r="I598" t="s">
        <v>40</v>
      </c>
      <c r="J598" t="s">
        <v>98</v>
      </c>
      <c r="K598">
        <v>163.28</v>
      </c>
      <c r="L598">
        <v>3</v>
      </c>
      <c r="M598">
        <v>0.15</v>
      </c>
      <c r="N598">
        <v>53.43</v>
      </c>
      <c r="O598" t="str">
        <f t="shared" si="9"/>
        <v>May-2024</v>
      </c>
    </row>
    <row r="599" spans="1:15" x14ac:dyDescent="0.25">
      <c r="A599" t="s">
        <v>783</v>
      </c>
      <c r="B599" s="2">
        <v>45411</v>
      </c>
      <c r="C599" s="2">
        <v>45412</v>
      </c>
      <c r="D599" t="s">
        <v>79</v>
      </c>
      <c r="E599" t="s">
        <v>17</v>
      </c>
      <c r="F599" t="s">
        <v>63</v>
      </c>
      <c r="G599" t="s">
        <v>67</v>
      </c>
      <c r="H599" t="s">
        <v>68</v>
      </c>
      <c r="I599" t="s">
        <v>29</v>
      </c>
      <c r="J599" t="s">
        <v>87</v>
      </c>
      <c r="K599">
        <v>2416.5500000000002</v>
      </c>
      <c r="L599">
        <v>3</v>
      </c>
      <c r="M599">
        <v>0.1</v>
      </c>
      <c r="N599">
        <v>-39.020000000000003</v>
      </c>
      <c r="O599" t="str">
        <f t="shared" si="9"/>
        <v>Apr-2024</v>
      </c>
    </row>
    <row r="600" spans="1:15" x14ac:dyDescent="0.25">
      <c r="A600" t="s">
        <v>784</v>
      </c>
      <c r="B600" s="2">
        <v>45644</v>
      </c>
      <c r="C600" s="2">
        <v>45646</v>
      </c>
      <c r="D600" t="s">
        <v>86</v>
      </c>
      <c r="E600" t="s">
        <v>25</v>
      </c>
      <c r="F600" t="s">
        <v>26</v>
      </c>
      <c r="G600" t="s">
        <v>90</v>
      </c>
      <c r="H600" t="s">
        <v>91</v>
      </c>
      <c r="I600" t="s">
        <v>21</v>
      </c>
      <c r="J600" t="s">
        <v>22</v>
      </c>
      <c r="K600">
        <v>935.8</v>
      </c>
      <c r="L600">
        <v>3</v>
      </c>
      <c r="M600">
        <v>0.15</v>
      </c>
      <c r="N600">
        <v>131.44999999999999</v>
      </c>
      <c r="O600" t="str">
        <f t="shared" si="9"/>
        <v>Dec-2024</v>
      </c>
    </row>
    <row r="601" spans="1:15" x14ac:dyDescent="0.25">
      <c r="A601" t="s">
        <v>785</v>
      </c>
      <c r="B601" s="2">
        <v>45451</v>
      </c>
      <c r="C601" s="2">
        <v>45452</v>
      </c>
      <c r="D601" t="s">
        <v>214</v>
      </c>
      <c r="E601" t="s">
        <v>25</v>
      </c>
      <c r="F601" t="s">
        <v>18</v>
      </c>
      <c r="G601" t="s">
        <v>58</v>
      </c>
      <c r="H601" t="s">
        <v>59</v>
      </c>
      <c r="I601" t="s">
        <v>40</v>
      </c>
      <c r="J601" t="s">
        <v>41</v>
      </c>
      <c r="K601">
        <v>116.69</v>
      </c>
      <c r="L601">
        <v>6</v>
      </c>
      <c r="M601">
        <v>0.2</v>
      </c>
      <c r="N601">
        <v>30.53</v>
      </c>
      <c r="O601" t="str">
        <f t="shared" si="9"/>
        <v>Jun-2024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zoomScaleNormal="100" workbookViewId="0">
      <selection activeCell="R8" sqref="R8"/>
    </sheetView>
  </sheetViews>
  <sheetFormatPr defaultColWidth="8.7109375" defaultRowHeight="15" x14ac:dyDescent="0.25"/>
  <cols>
    <col min="1" max="3" width="14" customWidth="1"/>
  </cols>
  <sheetData>
    <row r="1" spans="1:3" ht="16.5" x14ac:dyDescent="0.25">
      <c r="A1" s="3" t="s">
        <v>786</v>
      </c>
    </row>
    <row r="3" spans="1:3" x14ac:dyDescent="0.25">
      <c r="A3" s="1" t="s">
        <v>5</v>
      </c>
      <c r="B3" s="1" t="s">
        <v>787</v>
      </c>
      <c r="C3" s="1" t="s">
        <v>788</v>
      </c>
    </row>
    <row r="4" spans="1:3" x14ac:dyDescent="0.25">
      <c r="A4" t="s">
        <v>63</v>
      </c>
      <c r="B4" s="4">
        <f>SUMIF('Raw Data'!F2:F601,A4,'Raw Data'!K2:K601)</f>
        <v>208007.97000000003</v>
      </c>
      <c r="C4" s="4">
        <f>SUMIF('Raw Data'!F2:F601,A4,'Raw Data'!N2:N601)</f>
        <v>24318.109999999997</v>
      </c>
    </row>
    <row r="5" spans="1:3" x14ac:dyDescent="0.25">
      <c r="A5" t="s">
        <v>18</v>
      </c>
      <c r="B5" s="4">
        <f>SUMIF('Raw Data'!F2:F601,A5,'Raw Data'!K2:K601)</f>
        <v>278158.43999999989</v>
      </c>
      <c r="C5" s="4">
        <f>SUMIF('Raw Data'!F2:F601,A5,'Raw Data'!N2:N601)</f>
        <v>39389.06</v>
      </c>
    </row>
    <row r="6" spans="1:3" x14ac:dyDescent="0.25">
      <c r="A6" t="s">
        <v>33</v>
      </c>
      <c r="B6" s="4">
        <f>SUMIF('Raw Data'!F2:F601,A6,'Raw Data'!K2:K601)</f>
        <v>256242.37999999998</v>
      </c>
      <c r="C6" s="4">
        <f>SUMIF('Raw Data'!F2:F601,A6,'Raw Data'!N2:N601)</f>
        <v>28024.560000000012</v>
      </c>
    </row>
    <row r="7" spans="1:3" x14ac:dyDescent="0.25">
      <c r="A7" t="s">
        <v>26</v>
      </c>
      <c r="B7" s="4">
        <f>SUMIF('Raw Data'!F2:F601,A7,'Raw Data'!K2:K601)</f>
        <v>187955.94999999995</v>
      </c>
      <c r="C7" s="4">
        <f>SUMIF('Raw Data'!F2:F601,A7,'Raw Data'!N2:N601)</f>
        <v>24763.799999999992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zoomScaleNormal="100" workbookViewId="0"/>
  </sheetViews>
  <sheetFormatPr defaultColWidth="8.7109375" defaultRowHeight="15" x14ac:dyDescent="0.25"/>
  <cols>
    <col min="1" max="1" width="16" customWidth="1"/>
    <col min="2" max="2" width="14" customWidth="1"/>
  </cols>
  <sheetData>
    <row r="1" spans="1:2" ht="16.5" x14ac:dyDescent="0.25">
      <c r="A1" s="3" t="s">
        <v>789</v>
      </c>
    </row>
    <row r="3" spans="1:2" x14ac:dyDescent="0.25">
      <c r="A3" s="1" t="s">
        <v>8</v>
      </c>
      <c r="B3" s="1" t="s">
        <v>787</v>
      </c>
    </row>
    <row r="4" spans="1:2" x14ac:dyDescent="0.25">
      <c r="A4" t="s">
        <v>29</v>
      </c>
      <c r="B4" s="4">
        <f>SUMIF('Raw Data'!I2:I601,A4,'Raw Data'!K2:K601)</f>
        <v>252148.23999999996</v>
      </c>
    </row>
    <row r="5" spans="1:2" x14ac:dyDescent="0.25">
      <c r="A5" t="s">
        <v>40</v>
      </c>
      <c r="B5" s="4">
        <f>SUMIF('Raw Data'!I2:I601,A5,'Raw Data'!K2:K601)</f>
        <v>22620.16</v>
      </c>
    </row>
    <row r="6" spans="1:2" x14ac:dyDescent="0.25">
      <c r="A6" t="s">
        <v>21</v>
      </c>
      <c r="B6" s="4">
        <f>SUMIF('Raw Data'!I2:I601,A6,'Raw Data'!K2:K601)</f>
        <v>655596.3400000002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tabSelected="1" zoomScaleNormal="100" workbookViewId="0">
      <selection activeCell="A5" sqref="A5"/>
    </sheetView>
  </sheetViews>
  <sheetFormatPr defaultColWidth="8.7109375" defaultRowHeight="15" x14ac:dyDescent="0.25"/>
  <cols>
    <col min="1" max="1" width="22" customWidth="1"/>
    <col min="2" max="2" width="14" customWidth="1"/>
  </cols>
  <sheetData>
    <row r="1" spans="1:2" ht="16.5" x14ac:dyDescent="0.25">
      <c r="A1" s="3" t="s">
        <v>790</v>
      </c>
    </row>
    <row r="3" spans="1:2" x14ac:dyDescent="0.25">
      <c r="A3" s="1" t="s">
        <v>3</v>
      </c>
      <c r="B3" s="1" t="s">
        <v>787</v>
      </c>
    </row>
    <row r="4" spans="1:2" x14ac:dyDescent="0.25">
      <c r="A4" t="s">
        <v>127</v>
      </c>
      <c r="B4" s="4">
        <f>SUMIF('Raw Data'!D2:D601,A4,'Raw Data'!K2:K601)</f>
        <v>26224.739999999998</v>
      </c>
    </row>
    <row r="5" spans="1:2" x14ac:dyDescent="0.25">
      <c r="A5" t="s">
        <v>95</v>
      </c>
      <c r="B5" s="4">
        <f>SUMIF('Raw Data'!D2:D601,A5,'Raw Data'!K2:K601)</f>
        <v>23607.120000000003</v>
      </c>
    </row>
    <row r="6" spans="1:2" x14ac:dyDescent="0.25">
      <c r="A6" t="s">
        <v>182</v>
      </c>
      <c r="B6" s="4">
        <f>SUMIF('Raw Data'!D2:D601,A6,'Raw Data'!K2:K601)</f>
        <v>21350.599999999995</v>
      </c>
    </row>
    <row r="7" spans="1:2" x14ac:dyDescent="0.25">
      <c r="A7" t="s">
        <v>259</v>
      </c>
      <c r="B7" s="4">
        <f>SUMIF('Raw Data'!D2:D601,A7,'Raw Data'!K2:K601)</f>
        <v>20928.79</v>
      </c>
    </row>
    <row r="8" spans="1:2" x14ac:dyDescent="0.25">
      <c r="A8" t="s">
        <v>291</v>
      </c>
      <c r="B8" s="4">
        <f>SUMIF('Raw Data'!D2:D601,A8,'Raw Data'!K2:K601)</f>
        <v>20915.100000000002</v>
      </c>
    </row>
    <row r="9" spans="1:2" x14ac:dyDescent="0.25">
      <c r="A9" t="s">
        <v>203</v>
      </c>
      <c r="B9" s="4">
        <f>SUMIF('Raw Data'!D2:D601,A9,'Raw Data'!K2:K601)</f>
        <v>20533.04</v>
      </c>
    </row>
    <row r="10" spans="1:2" x14ac:dyDescent="0.25">
      <c r="A10" t="s">
        <v>136</v>
      </c>
      <c r="B10" s="4">
        <f>SUMIF('Raw Data'!D2:D601,A10,'Raw Data'!K2:K601)</f>
        <v>19328.05</v>
      </c>
    </row>
    <row r="11" spans="1:2" x14ac:dyDescent="0.25">
      <c r="A11" t="s">
        <v>223</v>
      </c>
      <c r="B11" s="4">
        <f>SUMIF('Raw Data'!D2:D601,A11,'Raw Data'!K2:K601)</f>
        <v>18435.7</v>
      </c>
    </row>
    <row r="12" spans="1:2" x14ac:dyDescent="0.25">
      <c r="A12" t="s">
        <v>310</v>
      </c>
      <c r="B12" s="4">
        <f>SUMIF('Raw Data'!D2:D601,A12,'Raw Data'!K2:K601)</f>
        <v>18354.899999999998</v>
      </c>
    </row>
    <row r="13" spans="1:2" x14ac:dyDescent="0.25">
      <c r="A13" t="s">
        <v>352</v>
      </c>
      <c r="B13" s="4">
        <f>SUMIF('Raw Data'!D2:D601,A13,'Raw Data'!K2:K601)</f>
        <v>18124.5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7"/>
  <sheetViews>
    <sheetView zoomScaleNormal="100" workbookViewId="0"/>
  </sheetViews>
  <sheetFormatPr defaultColWidth="8.7109375" defaultRowHeight="15" x14ac:dyDescent="0.25"/>
  <cols>
    <col min="1" max="1" width="12" customWidth="1"/>
    <col min="2" max="2" width="14" customWidth="1"/>
  </cols>
  <sheetData>
    <row r="1" spans="1:2" ht="16.5" x14ac:dyDescent="0.25">
      <c r="A1" s="3" t="s">
        <v>791</v>
      </c>
    </row>
    <row r="3" spans="1:2" x14ac:dyDescent="0.25">
      <c r="A3" s="1" t="s">
        <v>792</v>
      </c>
      <c r="B3" s="1" t="s">
        <v>787</v>
      </c>
    </row>
    <row r="4" spans="1:2" x14ac:dyDescent="0.25">
      <c r="A4" t="s">
        <v>793</v>
      </c>
      <c r="B4" s="4">
        <f>SUMIF('Raw Data'!O2:O601,A4,'Raw Data'!K2:K601)</f>
        <v>20060.390000000003</v>
      </c>
    </row>
    <row r="5" spans="1:2" x14ac:dyDescent="0.25">
      <c r="A5" t="s">
        <v>794</v>
      </c>
      <c r="B5" s="4">
        <f>SUMIF('Raw Data'!O2:O601,A5,'Raw Data'!K2:K601)</f>
        <v>55738.62</v>
      </c>
    </row>
    <row r="6" spans="1:2" x14ac:dyDescent="0.25">
      <c r="A6" t="s">
        <v>795</v>
      </c>
      <c r="B6" s="4">
        <f>SUMIF('Raw Data'!O2:O601,A6,'Raw Data'!K2:K601)</f>
        <v>46552.22</v>
      </c>
    </row>
    <row r="7" spans="1:2" x14ac:dyDescent="0.25">
      <c r="A7" t="s">
        <v>796</v>
      </c>
      <c r="B7" s="4">
        <f>SUMIF('Raw Data'!O2:O601,A7,'Raw Data'!K2:K601)</f>
        <v>62287.070000000007</v>
      </c>
    </row>
    <row r="8" spans="1:2" x14ac:dyDescent="0.25">
      <c r="A8" t="s">
        <v>797</v>
      </c>
      <c r="B8" s="4">
        <f>SUMIF('Raw Data'!O2:O601,A8,'Raw Data'!K2:K601)</f>
        <v>49574.12</v>
      </c>
    </row>
    <row r="9" spans="1:2" x14ac:dyDescent="0.25">
      <c r="A9" t="s">
        <v>798</v>
      </c>
      <c r="B9" s="4">
        <f>SUMIF('Raw Data'!O2:O601,A9,'Raw Data'!K2:K601)</f>
        <v>37559.33</v>
      </c>
    </row>
    <row r="10" spans="1:2" x14ac:dyDescent="0.25">
      <c r="A10" t="s">
        <v>799</v>
      </c>
      <c r="B10" s="4">
        <f>SUMIF('Raw Data'!O2:O601,A10,'Raw Data'!K2:K601)</f>
        <v>9719.2200000000012</v>
      </c>
    </row>
    <row r="11" spans="1:2" x14ac:dyDescent="0.25">
      <c r="A11" t="s">
        <v>800</v>
      </c>
      <c r="B11" s="4">
        <f>SUMIF('Raw Data'!O2:O601,A11,'Raw Data'!K2:K601)</f>
        <v>22390.65</v>
      </c>
    </row>
    <row r="12" spans="1:2" x14ac:dyDescent="0.25">
      <c r="A12" t="s">
        <v>801</v>
      </c>
      <c r="B12" s="4">
        <f>SUMIF('Raw Data'!O2:O601,A12,'Raw Data'!K2:K601)</f>
        <v>39278.42</v>
      </c>
    </row>
    <row r="13" spans="1:2" x14ac:dyDescent="0.25">
      <c r="A13" t="s">
        <v>802</v>
      </c>
      <c r="B13" s="4">
        <f>SUMIF('Raw Data'!O2:O601,A13,'Raw Data'!K2:K601)</f>
        <v>39281.299999999988</v>
      </c>
    </row>
    <row r="14" spans="1:2" x14ac:dyDescent="0.25">
      <c r="A14" t="s">
        <v>803</v>
      </c>
      <c r="B14" s="4">
        <f>SUMIF('Raw Data'!O2:O601,A14,'Raw Data'!K2:K601)</f>
        <v>24426.489999999998</v>
      </c>
    </row>
    <row r="15" spans="1:2" x14ac:dyDescent="0.25">
      <c r="A15" t="s">
        <v>804</v>
      </c>
      <c r="B15" s="4">
        <f>SUMIF('Raw Data'!O2:O601,A15,'Raw Data'!K2:K601)</f>
        <v>52734.9</v>
      </c>
    </row>
    <row r="16" spans="1:2" x14ac:dyDescent="0.25">
      <c r="A16" t="s">
        <v>805</v>
      </c>
      <c r="B16" s="4">
        <f>SUMIF('Raw Data'!O2:O601,A16,'Raw Data'!K2:K601)</f>
        <v>47970.98</v>
      </c>
    </row>
    <row r="17" spans="1:2" x14ac:dyDescent="0.25">
      <c r="A17" t="s">
        <v>806</v>
      </c>
      <c r="B17" s="4">
        <f>SUMIF('Raw Data'!O2:O601,A17,'Raw Data'!K2:K601)</f>
        <v>18462.210000000003</v>
      </c>
    </row>
    <row r="18" spans="1:2" x14ac:dyDescent="0.25">
      <c r="A18" t="s">
        <v>807</v>
      </c>
      <c r="B18" s="4">
        <f>SUMIF('Raw Data'!O2:O601,A18,'Raw Data'!K2:K601)</f>
        <v>29657.77</v>
      </c>
    </row>
    <row r="19" spans="1:2" x14ac:dyDescent="0.25">
      <c r="A19" t="s">
        <v>808</v>
      </c>
      <c r="B19" s="4">
        <f>SUMIF('Raw Data'!O2:O601,A19,'Raw Data'!K2:K601)</f>
        <v>37698.92</v>
      </c>
    </row>
    <row r="20" spans="1:2" x14ac:dyDescent="0.25">
      <c r="A20" t="s">
        <v>809</v>
      </c>
      <c r="B20" s="4">
        <f>SUMIF('Raw Data'!O2:O601,A20,'Raw Data'!K2:K601)</f>
        <v>65873.460000000021</v>
      </c>
    </row>
    <row r="21" spans="1:2" x14ac:dyDescent="0.25">
      <c r="A21" t="s">
        <v>810</v>
      </c>
      <c r="B21" s="4">
        <f>SUMIF('Raw Data'!O2:O601,A21,'Raw Data'!K2:K601)</f>
        <v>37575.100000000006</v>
      </c>
    </row>
    <row r="22" spans="1:2" x14ac:dyDescent="0.25">
      <c r="A22" t="s">
        <v>811</v>
      </c>
      <c r="B22" s="4">
        <f>SUMIF('Raw Data'!O2:O601,A22,'Raw Data'!K2:K601)</f>
        <v>48400.499999999993</v>
      </c>
    </row>
    <row r="23" spans="1:2" x14ac:dyDescent="0.25">
      <c r="A23" t="s">
        <v>812</v>
      </c>
      <c r="B23" s="4">
        <f>SUMIF('Raw Data'!O2:O601,A23,'Raw Data'!K2:K601)</f>
        <v>24345.010000000002</v>
      </c>
    </row>
    <row r="24" spans="1:2" x14ac:dyDescent="0.25">
      <c r="A24" t="s">
        <v>813</v>
      </c>
      <c r="B24" s="4">
        <f>SUMIF('Raw Data'!O2:O601,A24,'Raw Data'!K2:K601)</f>
        <v>32843.899999999994</v>
      </c>
    </row>
    <row r="25" spans="1:2" x14ac:dyDescent="0.25">
      <c r="A25" t="s">
        <v>814</v>
      </c>
      <c r="B25" s="4">
        <f>SUMIF('Raw Data'!O2:O601,A25,'Raw Data'!K2:K601)</f>
        <v>36628.599999999991</v>
      </c>
    </row>
    <row r="26" spans="1:2" x14ac:dyDescent="0.25">
      <c r="A26" t="s">
        <v>815</v>
      </c>
      <c r="B26" s="4">
        <f>SUMIF('Raw Data'!O2:O601,A26,'Raw Data'!K2:K601)</f>
        <v>51836.180000000008</v>
      </c>
    </row>
    <row r="27" spans="1:2" x14ac:dyDescent="0.25">
      <c r="A27" t="s">
        <v>816</v>
      </c>
      <c r="B27" s="4">
        <f>SUMIF('Raw Data'!O2:O601,A27,'Raw Data'!K2:K601)</f>
        <v>39469.380000000005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zoomScaleNormal="100" workbookViewId="0"/>
  </sheetViews>
  <sheetFormatPr defaultColWidth="8.7109375" defaultRowHeight="15" x14ac:dyDescent="0.25"/>
  <cols>
    <col min="1" max="1" width="16" customWidth="1"/>
    <col min="2" max="4" width="14" customWidth="1"/>
  </cols>
  <sheetData>
    <row r="1" spans="1:4" ht="16.5" x14ac:dyDescent="0.25">
      <c r="A1" s="3" t="s">
        <v>817</v>
      </c>
    </row>
    <row r="3" spans="1:4" x14ac:dyDescent="0.25">
      <c r="A3" s="1" t="s">
        <v>9</v>
      </c>
      <c r="B3" s="1" t="s">
        <v>787</v>
      </c>
      <c r="C3" s="1" t="s">
        <v>788</v>
      </c>
      <c r="D3" s="1" t="s">
        <v>818</v>
      </c>
    </row>
    <row r="4" spans="1:4" x14ac:dyDescent="0.25">
      <c r="A4" t="s">
        <v>60</v>
      </c>
      <c r="B4" s="4">
        <f>SUMIF('Raw Data'!J2:J601,A4,'Raw Data'!K2:K601)</f>
        <v>40490.520000000011</v>
      </c>
      <c r="C4" s="4">
        <f>SUMIF('Raw Data'!J2:J601,A4,'Raw Data'!N2:N601)</f>
        <v>7667.8300000000008</v>
      </c>
      <c r="D4" s="5">
        <f t="shared" ref="D4:D16" si="0">C4/B4</f>
        <v>0.18937346322052664</v>
      </c>
    </row>
    <row r="5" spans="1:4" x14ac:dyDescent="0.25">
      <c r="A5" t="s">
        <v>109</v>
      </c>
      <c r="B5" s="4">
        <f>SUMIF('Raw Data'!J2:J601,A5,'Raw Data'!K2:K601)</f>
        <v>3799.7700000000009</v>
      </c>
      <c r="C5" s="4">
        <f>SUMIF('Raw Data'!J2:J601,A5,'Raw Data'!N2:N601)</f>
        <v>770.29000000000008</v>
      </c>
      <c r="D5" s="5">
        <f t="shared" si="0"/>
        <v>0.20272016464154408</v>
      </c>
    </row>
    <row r="6" spans="1:4" x14ac:dyDescent="0.25">
      <c r="A6" t="s">
        <v>48</v>
      </c>
      <c r="B6" s="4">
        <f>SUMIF('Raw Data'!J2:J601,A6,'Raw Data'!K2:K601)</f>
        <v>3606.2100000000005</v>
      </c>
      <c r="C6" s="4">
        <f>SUMIF('Raw Data'!J2:J601,A6,'Raw Data'!N2:N601)</f>
        <v>702.68000000000018</v>
      </c>
      <c r="D6" s="5">
        <f t="shared" si="0"/>
        <v>0.19485276786432296</v>
      </c>
    </row>
    <row r="7" spans="1:4" x14ac:dyDescent="0.25">
      <c r="A7" t="s">
        <v>77</v>
      </c>
      <c r="B7" s="4">
        <f>SUMIF('Raw Data'!J2:J601,A7,'Raw Data'!K2:K601)</f>
        <v>43458.430000000022</v>
      </c>
      <c r="C7" s="4">
        <f>SUMIF('Raw Data'!J2:J601,A7,'Raw Data'!N2:N601)</f>
        <v>1338.8000000000004</v>
      </c>
      <c r="D7" s="5">
        <f t="shared" si="0"/>
        <v>3.0806451130425093E-2</v>
      </c>
    </row>
    <row r="8" spans="1:4" x14ac:dyDescent="0.25">
      <c r="A8" t="s">
        <v>55</v>
      </c>
      <c r="B8" s="4">
        <f>SUMIF('Raw Data'!J2:J601,A8,'Raw Data'!K2:K601)</f>
        <v>67388.560000000012</v>
      </c>
      <c r="C8" s="4">
        <f>SUMIF('Raw Data'!J2:J601,A8,'Raw Data'!N2:N601)</f>
        <v>13334.619999999997</v>
      </c>
      <c r="D8" s="5">
        <f t="shared" si="0"/>
        <v>0.19787661288503561</v>
      </c>
    </row>
    <row r="9" spans="1:4" x14ac:dyDescent="0.25">
      <c r="A9" t="s">
        <v>103</v>
      </c>
      <c r="B9" s="4">
        <f>SUMIF('Raw Data'!J2:J601,A9,'Raw Data'!K2:K601)</f>
        <v>347086.78</v>
      </c>
      <c r="C9" s="4">
        <f>SUMIF('Raw Data'!J2:J601,A9,'Raw Data'!N2:N601)</f>
        <v>63857.689999999995</v>
      </c>
      <c r="D9" s="5">
        <f t="shared" si="0"/>
        <v>0.18398191368740691</v>
      </c>
    </row>
    <row r="10" spans="1:4" x14ac:dyDescent="0.25">
      <c r="A10" t="s">
        <v>30</v>
      </c>
      <c r="B10" s="4">
        <f>SUMIF('Raw Data'!J2:J601,A10,'Raw Data'!K2:K601)</f>
        <v>18937.229999999996</v>
      </c>
      <c r="C10" s="4">
        <f>SUMIF('Raw Data'!J2:J601,A10,'Raw Data'!N2:N601)</f>
        <v>3713.5500000000015</v>
      </c>
      <c r="D10" s="5">
        <f t="shared" si="0"/>
        <v>0.19609784535541905</v>
      </c>
    </row>
    <row r="11" spans="1:4" x14ac:dyDescent="0.25">
      <c r="A11" t="s">
        <v>176</v>
      </c>
      <c r="B11" s="4">
        <f>SUMIF('Raw Data'!J2:J601,A11,'Raw Data'!K2:K601)</f>
        <v>1004.5</v>
      </c>
      <c r="C11" s="4">
        <f>SUMIF('Raw Data'!J2:J601,A11,'Raw Data'!N2:N601)</f>
        <v>192.97000000000006</v>
      </c>
      <c r="D11" s="5">
        <f t="shared" si="0"/>
        <v>0.19210552513688409</v>
      </c>
    </row>
    <row r="12" spans="1:4" x14ac:dyDescent="0.25">
      <c r="A12" t="s">
        <v>123</v>
      </c>
      <c r="B12" s="4">
        <f>SUMIF('Raw Data'!J2:J601,A12,'Raw Data'!K2:K601)</f>
        <v>183337.18000000002</v>
      </c>
      <c r="C12" s="4">
        <f>SUMIF('Raw Data'!J2:J601,A12,'Raw Data'!N2:N601)</f>
        <v>4491.7799999999988</v>
      </c>
      <c r="D12" s="5">
        <f t="shared" si="0"/>
        <v>2.4500104125087983E-2</v>
      </c>
    </row>
    <row r="13" spans="1:4" x14ac:dyDescent="0.25">
      <c r="A13" t="s">
        <v>41</v>
      </c>
      <c r="B13" s="4">
        <f>SUMIF('Raw Data'!J2:J601,A13,'Raw Data'!K2:K601)</f>
        <v>3102.3800000000006</v>
      </c>
      <c r="C13" s="4">
        <f>SUMIF('Raw Data'!J2:J601,A13,'Raw Data'!N2:N601)</f>
        <v>584.14</v>
      </c>
      <c r="D13" s="5">
        <f t="shared" si="0"/>
        <v>0.18828770169998513</v>
      </c>
    </row>
    <row r="14" spans="1:4" x14ac:dyDescent="0.25">
      <c r="A14" t="s">
        <v>22</v>
      </c>
      <c r="B14" s="4">
        <f>SUMIF('Raw Data'!J2:J601,A14,'Raw Data'!K2:K601)</f>
        <v>84681.860000000015</v>
      </c>
      <c r="C14" s="4">
        <f>SUMIF('Raw Data'!J2:J601,A14,'Raw Data'!N2:N601)</f>
        <v>15406.389999999996</v>
      </c>
      <c r="D14" s="5">
        <f t="shared" si="0"/>
        <v>0.18193258863232331</v>
      </c>
    </row>
    <row r="15" spans="1:4" x14ac:dyDescent="0.25">
      <c r="A15" t="s">
        <v>98</v>
      </c>
      <c r="B15" s="4">
        <f>SUMIF('Raw Data'!J2:J601,A15,'Raw Data'!K2:K601)</f>
        <v>11107.300000000003</v>
      </c>
      <c r="C15" s="4">
        <f>SUMIF('Raw Data'!J2:J601,A15,'Raw Data'!N2:N601)</f>
        <v>2235.9499999999994</v>
      </c>
      <c r="D15" s="5">
        <f t="shared" si="0"/>
        <v>0.2013045474597786</v>
      </c>
    </row>
    <row r="16" spans="1:4" x14ac:dyDescent="0.25">
      <c r="A16" t="s">
        <v>87</v>
      </c>
      <c r="B16" s="4">
        <f>SUMIF('Raw Data'!J2:J601,A16,'Raw Data'!K2:K601)</f>
        <v>122364.02000000002</v>
      </c>
      <c r="C16" s="4">
        <f>SUMIF('Raw Data'!J2:J601,A16,'Raw Data'!N2:N601)</f>
        <v>2198.84</v>
      </c>
      <c r="D16" s="5">
        <f t="shared" si="0"/>
        <v>1.7969661343260869E-2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Q1 - Sales by Region</vt:lpstr>
      <vt:lpstr>Q2 - Revenue by Category</vt:lpstr>
      <vt:lpstr>Q3 - Top Customers</vt:lpstr>
      <vt:lpstr>Q4 - Monthly Trend</vt:lpstr>
      <vt:lpstr>Q5 - Profit Margin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parteeksidhu0002@gmail.com</cp:lastModifiedBy>
  <cp:revision>1</cp:revision>
  <dcterms:created xsi:type="dcterms:W3CDTF">2026-08-31T08:26:25Z</dcterms:created>
  <dcterms:modified xsi:type="dcterms:W3CDTF">2026-09-01T01:58:29Z</dcterms:modified>
  <dc:language>en-US</dc:language>
</cp:coreProperties>
</file>