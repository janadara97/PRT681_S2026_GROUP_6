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RTM" sheetId="2" state="visible" r:id="rId4"/>
    <sheet name="Coverage" sheetId="3" state="visible" r:id="rId5"/>
    <sheet name="Business Goals" sheetId="4" state="visible" r:id="rId6"/>
    <sheet name="Requirements" sheetId="5" state="visible" r:id="rId7"/>
    <sheet name="User Stories" sheetId="6" state="visible" r:id="rId8"/>
    <sheet name="Acceptance Criteria" sheetId="7" state="visible" r:id="rId9"/>
    <sheet name="Screens" sheetId="8" state="visible" r:id="rId10"/>
    <sheet name="Test Scenarios" sheetId="9" state="visible" r:id="rId11"/>
    <sheet name="Gaps and Questions" sheetId="10" state="visible" r:id="rId12"/>
  </sheets>
  <definedNames>
    <definedName function="false" hidden="true" localSheetId="6" name="_xlnm._FilterDatabase" vbProcedure="false">'Acceptance Criteria'!$A$1:$I$24</definedName>
    <definedName function="false" hidden="true" localSheetId="3" name="_xlnm._FilterDatabase" vbProcedure="false">'Business Goals'!$A$1:$F$6</definedName>
    <definedName function="false" hidden="true" localSheetId="9" name="_xlnm._FilterDatabase" vbProcedure="false">'Gaps and Questions'!$A$1:$E$15</definedName>
    <definedName function="false" hidden="true" localSheetId="4" name="_xlnm._FilterDatabase" vbProcedure="false">Requirements!$A$1:$F$8</definedName>
    <definedName function="false" hidden="true" localSheetId="1" name="_xlnm._FilterDatabase" vbProcedure="false">RTM!$A$1:$N$30</definedName>
    <definedName function="false" hidden="true" localSheetId="7" name="_xlnm._FilterDatabase" vbProcedure="false">Screens!$A$1:$F$12</definedName>
    <definedName function="false" hidden="true" localSheetId="8" name="_xlnm._FilterDatabase" vbProcedure="false">'Test Scenarios'!$A$1:$M$30</definedName>
    <definedName function="false" hidden="true" localSheetId="5" name="_xlnm._FilterDatabase" vbProcedure="false">'User Stories'!$A$1:$G$7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<sst xmlns="http://schemas.openxmlformats.org/spreadsheetml/2006/main" count="1053" uniqueCount="471">
  <si>
    <t xml:space="preserve">Requirements Traceability Matrix</t>
  </si>
  <si>
    <t xml:space="preserve">Feature: Schedule a Ride in Advance (rider app) | Version 1.0 | Prepared 6 Oct 2026 | Status: Draft for review</t>
  </si>
  <si>
    <t xml:space="preserve">Purpose</t>
  </si>
  <si>
    <t xml:space="preserve">Traces each business goal through requirements, user stories, acceptance criteria, wireframe screens and test scenarios (with the matching Gherkin tag), so coverage gaps are visible before build.</t>
  </si>
  <si>
    <t xml:space="preserve">Traceability chain</t>
  </si>
  <si>
    <t xml:space="preserve">Business Goal (BG) &gt; Business Requirement (BR) &gt; User Story (US) &gt; Acceptance Criterion (AC) &gt; Wireframe Screen (SCR/NTF/DRV) &gt; Test Scenario (TS) &gt; Gherkin tag (@TS-nn in schedule_ride.feature)</t>
  </si>
  <si>
    <t xml:space="preserve">Start here</t>
  </si>
  <si>
    <t xml:space="preserve">RTM = the full matrix, one row per test scenario. Coverage = live summary. Gaps and Questions = design gaps and open requirement questions found while tracing.</t>
  </si>
  <si>
    <t xml:space="preserve">Sheet</t>
  </si>
  <si>
    <t xml:space="preserve">Contents</t>
  </si>
  <si>
    <t xml:space="preserve">RTM</t>
  </si>
  <si>
    <t xml:space="preserve">Main matrix. Design status and test status are looked up from the other sheets.</t>
  </si>
  <si>
    <t xml:space="preserve">Coverage</t>
  </si>
  <si>
    <t xml:space="preserve">Coverage by user story, test execution counts and headline totals (all formulas).</t>
  </si>
  <si>
    <t xml:space="preserve">Business Goals</t>
  </si>
  <si>
    <t xml:space="preserve">5 goals with KPI from the BRD (two goals have no KPI defined) and link counts.</t>
  </si>
  <si>
    <t xml:space="preserve">Requirements</t>
  </si>
  <si>
    <t xml:space="preserve">BR-1 to BR-7 from the BRD, each linked to goals.</t>
  </si>
  <si>
    <t xml:space="preserve">User Stories</t>
  </si>
  <si>
    <t xml:space="preserve">5 user stories plus the cross-cutting logging requirement (US-X).</t>
  </si>
  <si>
    <t xml:space="preserve">Acceptance Criteria</t>
  </si>
  <si>
    <t xml:space="preserve">23 ACs. Source 'BRD' = written in the BRD; 'Derived' = added during test design to cover boundaries and edge cases.</t>
  </si>
  <si>
    <t xml:space="preserve">Screens</t>
  </si>
  <si>
    <t xml:space="preserve">Wireframe inventory: 5 screens/states built in the clickable prototype, 6 still to be designed.</t>
  </si>
  <si>
    <t xml:space="preserve">Test Scenarios</t>
  </si>
  <si>
    <t xml:space="preserve">29 scenarios. Test status is the only input column.</t>
  </si>
  <si>
    <t xml:space="preserve">Gaps and Questions</t>
  </si>
  <si>
    <t xml:space="preserve">7 design gaps and 7 open questions.</t>
  </si>
  <si>
    <t xml:space="preserve">ID scheme</t>
  </si>
  <si>
    <t xml:space="preserve">BG-nn goal | BR-n requirement | US-nn story | AC-nn.n criterion | SCR-nn / NTF-nn / DRV-nn screen | TS-nn test scenario | RTM-nnn matrix row</t>
  </si>
  <si>
    <t xml:space="preserve">Colour legend</t>
  </si>
  <si>
    <t xml:space="preserve">Yellow cell with blue text = input you edit (Test Scenarios &gt; Test status, Executed by, Date). Everything else is a formula or fixed reference data.</t>
  </si>
  <si>
    <t xml:space="preserve">Example entry</t>
  </si>
  <si>
    <t xml:space="preserve">Test status: Pass | Executed by: J. Smith | Date: 2026-10-20</t>
  </si>
  <si>
    <t xml:space="preserve">Assumptions</t>
  </si>
  <si>
    <t xml:space="preserve">Current time for boundary tests is fixed at 2026-10-06 09:00. Booking window 15 minutes to 30 days, cancellation cutoff 60 minutes and 30-minute driver assignment window come from the BRD examples ('e.g.') and are not final. TS-13 assumes a cancellation at exactly 60 minutes is free (open question Q-01).</t>
  </si>
  <si>
    <t xml:space="preserve">RTM ID</t>
  </si>
  <si>
    <t xml:space="preserve">Business goal(s)</t>
  </si>
  <si>
    <t xml:space="preserve">Req</t>
  </si>
  <si>
    <t xml:space="preserve">Story</t>
  </si>
  <si>
    <t xml:space="preserve">AC</t>
  </si>
  <si>
    <t xml:space="preserve">AC source</t>
  </si>
  <si>
    <t xml:space="preserve">Wireframe screen(s)</t>
  </si>
  <si>
    <t xml:space="preserve">Design status</t>
  </si>
  <si>
    <t xml:space="preserve">Test ID</t>
  </si>
  <si>
    <t xml:space="preserve">Test scenario</t>
  </si>
  <si>
    <t xml:space="preserve">Type</t>
  </si>
  <si>
    <t xml:space="preserve">Priority</t>
  </si>
  <si>
    <t xml:space="preserve">Test status</t>
  </si>
  <si>
    <t xml:space="preserve">Gherkin tag</t>
  </si>
  <si>
    <t xml:space="preserve">RTM-001</t>
  </si>
  <si>
    <t xml:space="preserve">BG-01, BG-02</t>
  </si>
  <si>
    <t xml:space="preserve">BR-1</t>
  </si>
  <si>
    <t xml:space="preserve">US-01</t>
  </si>
  <si>
    <t xml:space="preserve">AC-01.1</t>
  </si>
  <si>
    <t xml:space="preserve">BRD</t>
  </si>
  <si>
    <t xml:space="preserve">SCR-01</t>
  </si>
  <si>
    <t xml:space="preserve">TS-01</t>
  </si>
  <si>
    <t xml:space="preserve">@TS-01</t>
  </si>
  <si>
    <t xml:space="preserve">RTM-002</t>
  </si>
  <si>
    <t xml:space="preserve">AC-01.2</t>
  </si>
  <si>
    <t xml:space="preserve">SCR-02, SCR-03</t>
  </si>
  <si>
    <t xml:space="preserve">TS-02</t>
  </si>
  <si>
    <t xml:space="preserve">@TS-02</t>
  </si>
  <si>
    <t xml:space="preserve">RTM-003</t>
  </si>
  <si>
    <t xml:space="preserve">TS-03</t>
  </si>
  <si>
    <t xml:space="preserve">@TS-03</t>
  </si>
  <si>
    <t xml:space="preserve">RTM-004</t>
  </si>
  <si>
    <t xml:space="preserve">TS-04</t>
  </si>
  <si>
    <t xml:space="preserve">@TS-04</t>
  </si>
  <si>
    <t xml:space="preserve">RTM-005</t>
  </si>
  <si>
    <t xml:space="preserve">AC-01.4</t>
  </si>
  <si>
    <t xml:space="preserve">Derived</t>
  </si>
  <si>
    <t xml:space="preserve">SCR-08</t>
  </si>
  <si>
    <t xml:space="preserve">TS-05</t>
  </si>
  <si>
    <t xml:space="preserve">@TS-05</t>
  </si>
  <si>
    <t xml:space="preserve">RTM-006</t>
  </si>
  <si>
    <t xml:space="preserve">TS-06</t>
  </si>
  <si>
    <t xml:space="preserve">@TS-06</t>
  </si>
  <si>
    <t xml:space="preserve">RTM-007</t>
  </si>
  <si>
    <t xml:space="preserve">BG-02, BG-04</t>
  </si>
  <si>
    <t xml:space="preserve">BR-2</t>
  </si>
  <si>
    <t xml:space="preserve">AC-01.3</t>
  </si>
  <si>
    <t xml:space="preserve">SCR-05</t>
  </si>
  <si>
    <t xml:space="preserve">TS-07</t>
  </si>
  <si>
    <t xml:space="preserve">@TS-07</t>
  </si>
  <si>
    <t xml:space="preserve">RTM-008</t>
  </si>
  <si>
    <t xml:space="preserve">BG-03, BG-04</t>
  </si>
  <si>
    <t xml:space="preserve">BR-6</t>
  </si>
  <si>
    <t xml:space="preserve">AC-01.5</t>
  </si>
  <si>
    <t xml:space="preserve">SCR-02</t>
  </si>
  <si>
    <t xml:space="preserve">TS-08</t>
  </si>
  <si>
    <t xml:space="preserve">@TS-08</t>
  </si>
  <si>
    <t xml:space="preserve">RTM-009</t>
  </si>
  <si>
    <t xml:space="preserve">BG-04</t>
  </si>
  <si>
    <t xml:space="preserve">BR-3</t>
  </si>
  <si>
    <t xml:space="preserve">US-02</t>
  </si>
  <si>
    <t xml:space="preserve">AC-02.1</t>
  </si>
  <si>
    <t xml:space="preserve">SCR-04</t>
  </si>
  <si>
    <t xml:space="preserve">TS-09</t>
  </si>
  <si>
    <t xml:space="preserve">@TS-09</t>
  </si>
  <si>
    <t xml:space="preserve">RTM-010</t>
  </si>
  <si>
    <t xml:space="preserve">AC-02.2</t>
  </si>
  <si>
    <t xml:space="preserve">TS-10</t>
  </si>
  <si>
    <t xml:space="preserve">@TS-10</t>
  </si>
  <si>
    <t xml:space="preserve">RTM-011</t>
  </si>
  <si>
    <t xml:space="preserve">AC-02.3</t>
  </si>
  <si>
    <t xml:space="preserve">SCR-07</t>
  </si>
  <si>
    <t xml:space="preserve">TS-11</t>
  </si>
  <si>
    <t xml:space="preserve">@TS-11</t>
  </si>
  <si>
    <t xml:space="preserve">RTM-012</t>
  </si>
  <si>
    <t xml:space="preserve">US-03</t>
  </si>
  <si>
    <t xml:space="preserve">AC-03.1</t>
  </si>
  <si>
    <t xml:space="preserve">SCR-04, SCR-04b</t>
  </si>
  <si>
    <t xml:space="preserve">TS-12</t>
  </si>
  <si>
    <t xml:space="preserve">@TS-12</t>
  </si>
  <si>
    <t xml:space="preserve">RTM-013</t>
  </si>
  <si>
    <t xml:space="preserve">TS-13</t>
  </si>
  <si>
    <t xml:space="preserve">@TS-13</t>
  </si>
  <si>
    <t xml:space="preserve">RTM-014</t>
  </si>
  <si>
    <t xml:space="preserve">AC-03.2</t>
  </si>
  <si>
    <t xml:space="preserve">SCR-06</t>
  </si>
  <si>
    <t xml:space="preserve">TS-14</t>
  </si>
  <si>
    <t xml:space="preserve">@TS-14</t>
  </si>
  <si>
    <t xml:space="preserve">RTM-015</t>
  </si>
  <si>
    <t xml:space="preserve">AC-03.4</t>
  </si>
  <si>
    <t xml:space="preserve">SCR-04b</t>
  </si>
  <si>
    <t xml:space="preserve">TS-15</t>
  </si>
  <si>
    <t xml:space="preserve">@TS-15</t>
  </si>
  <si>
    <t xml:space="preserve">RTM-016</t>
  </si>
  <si>
    <t xml:space="preserve">AC-03.3</t>
  </si>
  <si>
    <t xml:space="preserve">SCR-01, SCR-02</t>
  </si>
  <si>
    <t xml:space="preserve">TS-16</t>
  </si>
  <si>
    <t xml:space="preserve">@TS-16</t>
  </si>
  <si>
    <t xml:space="preserve">RTM-017</t>
  </si>
  <si>
    <t xml:space="preserve">TS-17</t>
  </si>
  <si>
    <t xml:space="preserve">@TS-17</t>
  </si>
  <si>
    <t xml:space="preserve">RTM-018</t>
  </si>
  <si>
    <t xml:space="preserve">AC-03.5</t>
  </si>
  <si>
    <t xml:space="preserve">TS-18</t>
  </si>
  <si>
    <t xml:space="preserve">@TS-18</t>
  </si>
  <si>
    <t xml:space="preserve">RTM-019</t>
  </si>
  <si>
    <t xml:space="preserve">BR-4</t>
  </si>
  <si>
    <t xml:space="preserve">US-04</t>
  </si>
  <si>
    <t xml:space="preserve">AC-04.1</t>
  </si>
  <si>
    <t xml:space="preserve">NTF-01, SCR-03</t>
  </si>
  <si>
    <t xml:space="preserve">TS-19</t>
  </si>
  <si>
    <t xml:space="preserve">@TS-19</t>
  </si>
  <si>
    <t xml:space="preserve">RTM-020</t>
  </si>
  <si>
    <t xml:space="preserve">AC-04.2</t>
  </si>
  <si>
    <t xml:space="preserve">NTF-01</t>
  </si>
  <si>
    <t xml:space="preserve">TS-20</t>
  </si>
  <si>
    <t xml:space="preserve">@TS-20</t>
  </si>
  <si>
    <t xml:space="preserve">RTM-021</t>
  </si>
  <si>
    <t xml:space="preserve">AC-04.3</t>
  </si>
  <si>
    <t xml:space="preserve">TS-21</t>
  </si>
  <si>
    <t xml:space="preserve">@TS-21</t>
  </si>
  <si>
    <t xml:space="preserve">RTM-022</t>
  </si>
  <si>
    <t xml:space="preserve">AC-04.4</t>
  </si>
  <si>
    <t xml:space="preserve">TS-22</t>
  </si>
  <si>
    <t xml:space="preserve">@TS-22</t>
  </si>
  <si>
    <t xml:space="preserve">RTM-023</t>
  </si>
  <si>
    <t xml:space="preserve">AC-04.5</t>
  </si>
  <si>
    <t xml:space="preserve">TS-23</t>
  </si>
  <si>
    <t xml:space="preserve">@TS-23</t>
  </si>
  <si>
    <t xml:space="preserve">RTM-024</t>
  </si>
  <si>
    <t xml:space="preserve">BG-02, BG-03</t>
  </si>
  <si>
    <t xml:space="preserve">BR-5</t>
  </si>
  <si>
    <t xml:space="preserve">US-05</t>
  </si>
  <si>
    <t xml:space="preserve">AC-05.1</t>
  </si>
  <si>
    <t xml:space="preserve">DRV-01</t>
  </si>
  <si>
    <t xml:space="preserve">TS-24</t>
  </si>
  <si>
    <t xml:space="preserve">@TS-24</t>
  </si>
  <si>
    <t xml:space="preserve">RTM-025</t>
  </si>
  <si>
    <t xml:space="preserve">AC-05.2</t>
  </si>
  <si>
    <t xml:space="preserve">TS-25</t>
  </si>
  <si>
    <t xml:space="preserve">@TS-25</t>
  </si>
  <si>
    <t xml:space="preserve">RTM-026</t>
  </si>
  <si>
    <t xml:space="preserve">AC-05.3</t>
  </si>
  <si>
    <t xml:space="preserve">TS-26</t>
  </si>
  <si>
    <t xml:space="preserve">@TS-26</t>
  </si>
  <si>
    <t xml:space="preserve">RTM-027</t>
  </si>
  <si>
    <t xml:space="preserve">TS-27</t>
  </si>
  <si>
    <t xml:space="preserve">@TS-27</t>
  </si>
  <si>
    <t xml:space="preserve">RTM-028</t>
  </si>
  <si>
    <t xml:space="preserve">AC-05.4</t>
  </si>
  <si>
    <t xml:space="preserve">DRV-01, NTF-01</t>
  </si>
  <si>
    <t xml:space="preserve">TS-28</t>
  </si>
  <si>
    <t xml:space="preserve">@TS-28</t>
  </si>
  <si>
    <t xml:space="preserve">RTM-029</t>
  </si>
  <si>
    <t xml:space="preserve">BG-02, BG-05</t>
  </si>
  <si>
    <t xml:space="preserve">BR-7</t>
  </si>
  <si>
    <t xml:space="preserve">US-X</t>
  </si>
  <si>
    <t xml:space="preserve">AC-X.1</t>
  </si>
  <si>
    <t xml:space="preserve">N/A</t>
  </si>
  <si>
    <t xml:space="preserve">TS-29</t>
  </si>
  <si>
    <t xml:space="preserve">@TS-29</t>
  </si>
  <si>
    <t xml:space="preserve">Coverage summary</t>
  </si>
  <si>
    <t xml:space="preserve">All figures are formulas and update when the other sheets change.</t>
  </si>
  <si>
    <t xml:space="preserve">Headline totals</t>
  </si>
  <si>
    <t xml:space="preserve">Measure</t>
  </si>
  <si>
    <t xml:space="preserve">Value</t>
  </si>
  <si>
    <t xml:space="preserve">Business goals</t>
  </si>
  <si>
    <t xml:space="preserve">Business requirements</t>
  </si>
  <si>
    <t xml:space="preserve">User stories (incl. cross-cutting)</t>
  </si>
  <si>
    <t xml:space="preserve">Acceptance criteria</t>
  </si>
  <si>
    <t xml:space="preserve">Test scenarios</t>
  </si>
  <si>
    <t xml:space="preserve">Screens / states wireframed</t>
  </si>
  <si>
    <t xml:space="preserve">Screens / states still to design</t>
  </si>
  <si>
    <t xml:space="preserve">ACs with no test (should be 0)</t>
  </si>
  <si>
    <t xml:space="preserve">Coverage by user story</t>
  </si>
  <si>
    <t xml:space="preserve">Title</t>
  </si>
  <si>
    <t xml:space="preserve"># ACs</t>
  </si>
  <si>
    <t xml:space="preserve">ACs with a test</t>
  </si>
  <si>
    <t xml:space="preserve">AC test coverage</t>
  </si>
  <si>
    <t xml:space="preserve"># Test scenarios</t>
  </si>
  <si>
    <t xml:space="preserve">ACs fully wireframed</t>
  </si>
  <si>
    <t xml:space="preserve">ACs with design gap / partial</t>
  </si>
  <si>
    <t xml:space="preserve">Total</t>
  </si>
  <si>
    <t xml:space="preserve">Test execution status</t>
  </si>
  <si>
    <t xml:space="preserve">Status</t>
  </si>
  <si>
    <t xml:space="preserve"># Scenarios</t>
  </si>
  <si>
    <t xml:space="preserve">% of total</t>
  </si>
  <si>
    <t xml:space="preserve">Not run</t>
  </si>
  <si>
    <t xml:space="preserve">Pass</t>
  </si>
  <si>
    <t xml:space="preserve">Fail</t>
  </si>
  <si>
    <t xml:space="preserve">Blocked</t>
  </si>
  <si>
    <t xml:space="preserve">Goal ID</t>
  </si>
  <si>
    <t xml:space="preserve">Business goal</t>
  </si>
  <si>
    <t xml:space="preserve">KPI (from BRD)</t>
  </si>
  <si>
    <t xml:space="preserve">KPI defined?</t>
  </si>
  <si>
    <t xml:space="preserve"># Requirements</t>
  </si>
  <si>
    <t xml:space="preserve">BG-01</t>
  </si>
  <si>
    <t xml:space="preserve">Capture demand from time-sensitive trips (flights, meetings, medical appointments)</t>
  </si>
  <si>
    <t xml:space="preserve">Increase in overall trip volume attributable to scheduled bookings within 2 quarters post-launch</t>
  </si>
  <si>
    <t xml:space="preserve">Yes</t>
  </si>
  <si>
    <t xml:space="preserve">BG-02</t>
  </si>
  <si>
    <t xml:space="preserve">Deliver reliable, on-time scheduled pickups</t>
  </si>
  <si>
    <t xml:space="preserve">&gt;=90% of scheduled rides completed with on-time pickup (within 5 minutes of requested time)</t>
  </si>
  <si>
    <t xml:space="preserve">BG-03</t>
  </si>
  <si>
    <t xml:space="preserve">Improve driver-partner utilization through predictable, advance demand</t>
  </si>
  <si>
    <t xml:space="preserve">No KPI defined in BRD - owner and metric needed</t>
  </si>
  <si>
    <t xml:space="preserve">No</t>
  </si>
  <si>
    <t xml:space="preserve">Limit late rider cancellations</t>
  </si>
  <si>
    <t xml:space="preserve">&lt;5% rider-initiated cancellation rate after the cancellation cutoff</t>
  </si>
  <si>
    <t xml:space="preserve">BG-05</t>
  </si>
  <si>
    <t xml:space="preserve">Reduce customer-support contacts about missed pickups</t>
  </si>
  <si>
    <t xml:space="preserve">Req ID</t>
  </si>
  <si>
    <t xml:space="preserve">Business requirement</t>
  </si>
  <si>
    <t xml:space="preserve"># User stories</t>
  </si>
  <si>
    <t xml:space="preserve"># Acceptance criteria</t>
  </si>
  <si>
    <t xml:space="preserve">Allow a rider to select a future pickup date and time when requesting a ride.</t>
  </si>
  <si>
    <t xml:space="preserve">Confirm a scheduled ride only when a driver match is reasonably likely; otherwise notify the rider and suggest alternatives.</t>
  </si>
  <si>
    <t xml:space="preserve">Allow riders to modify or cancel a scheduled ride up to a defined cutoff (e.g. 60 minutes before pickup) without penalty.</t>
  </si>
  <si>
    <t xml:space="preserve">Notify the rider by push notification at set intervals before pickup (e.g. 24 hours, 1 hour, 10 minutes).</t>
  </si>
  <si>
    <t xml:space="preserve">Assign the trip to a driver-partner within a defined pre-pickup window and let the driver accept or decline.</t>
  </si>
  <si>
    <t xml:space="preserve">Apply a cancellation fee if the rider cancels after the defined cutoff.</t>
  </si>
  <si>
    <t xml:space="preserve">Log all scheduled-ride events for reporting and support.</t>
  </si>
  <si>
    <t xml:space="preserve">Story ID</t>
  </si>
  <si>
    <t xml:space="preserve">Persona</t>
  </si>
  <si>
    <t xml:space="preserve">Requirement(s)</t>
  </si>
  <si>
    <t xml:space="preserve">MoSCoW</t>
  </si>
  <si>
    <t xml:space="preserve">Schedule a Future Ride</t>
  </si>
  <si>
    <t xml:space="preserve">Rider</t>
  </si>
  <si>
    <t xml:space="preserve">BR-1, BR-2</t>
  </si>
  <si>
    <t xml:space="preserve">Must</t>
  </si>
  <si>
    <t xml:space="preserve">View and Manage Scheduled Rides</t>
  </si>
  <si>
    <t xml:space="preserve">Modify or Cancel a Scheduled Ride</t>
  </si>
  <si>
    <t xml:space="preserve">BR-3, BR-6</t>
  </si>
  <si>
    <t xml:space="preserve">Receive Pickup Reminders</t>
  </si>
  <si>
    <t xml:space="preserve">Should</t>
  </si>
  <si>
    <t xml:space="preserve">Driver Receives and Accepts Scheduled Trip</t>
  </si>
  <si>
    <t xml:space="preserve">Driver-partner</t>
  </si>
  <si>
    <t xml:space="preserve">Cross-cutting: event logging</t>
  </si>
  <si>
    <t xml:space="preserve">Platform</t>
  </si>
  <si>
    <t xml:space="preserve">AC ID</t>
  </si>
  <si>
    <t xml:space="preserve">Requirement</t>
  </si>
  <si>
    <t xml:space="preserve">Acceptance criterion</t>
  </si>
  <si>
    <t xml:space="preserve">Source</t>
  </si>
  <si>
    <t xml:space="preserve"># Tests</t>
  </si>
  <si>
    <t xml:space="preserve">Test coverage</t>
  </si>
  <si>
    <t xml:space="preserve">Rider can pick a pickup date/time from 15 minutes to 30 days ahead after tapping 'Schedule for Later'.</t>
  </si>
  <si>
    <t xml:space="preserve">Confirming a valid future time shows a booking confirmation with pickup location, time and estimated fare range.</t>
  </si>
  <si>
    <t xml:space="preserve">If no driver supply is reasonably likely, rider sees a warning and alternative times instead of a confirmation.</t>
  </si>
  <si>
    <t xml:space="preserve">Times earlier than 15 minutes or later than 30 days ahead are rejected with an error.</t>
  </si>
  <si>
    <t xml:space="preserve">Review screen shows trip summary, fare estimate and cancellation policy before the rider confirms.</t>
  </si>
  <si>
    <t xml:space="preserve">'Your Trips' lists all upcoming scheduled rides with date, time and pickup/drop-off details.</t>
  </si>
  <si>
    <t xml:space="preserve">Opening a scheduled ride shows its details with Edit and Cancel options.</t>
  </si>
  <si>
    <t xml:space="preserve">With no scheduled rides, 'Your Trips' shows an empty state prompting the rider to schedule one.</t>
  </si>
  <si>
    <t xml:space="preserve">Cancelling more than 60 minutes before pickup is free and the rider receives a confirmation.</t>
  </si>
  <si>
    <t xml:space="preserve">Cancelling within 60 minutes of pickup shows the applicable fee before the rider confirms.</t>
  </si>
  <si>
    <t xml:space="preserve">Editing pickup time or location re-validates driver availability and updates the confirmation.</t>
  </si>
  <si>
    <t xml:space="preserve">Rider can back out of a cancellation and the ride stays scheduled.</t>
  </si>
  <si>
    <t xml:space="preserve">Once a trip is dispatched it can no longer be edited.</t>
  </si>
  <si>
    <t xml:space="preserve">A rider booked more than 24 hours ahead gets a push reminder at 24 hours before pickup.</t>
  </si>
  <si>
    <t xml:space="preserve">Reminders at 1 hour and 10 minutes before pickup include driver assignment status when available.</t>
  </si>
  <si>
    <t xml:space="preserve">If device notifications are off, reminders still appear in the in-app notification center.</t>
  </si>
  <si>
    <t xml:space="preserve">A ride booked less than 24 hours ahead gets no 24-hour reminder.</t>
  </si>
  <si>
    <t xml:space="preserve">Cancelling a ride stops all pending reminders for it.</t>
  </si>
  <si>
    <t xml:space="preserve">When the pre-pickup assignment window opens (e.g. 30 min), the driver receives a request with pickup time, location and fare.</t>
  </si>
  <si>
    <t xml:space="preserve">Accepting locks the trip to that driver and removes it from other drivers' queues.</t>
  </si>
  <si>
    <t xml:space="preserve">If the driver declines or times out, the trip is offered to a new driver without changing the rider's pickup time where possible.</t>
  </si>
  <si>
    <t xml:space="preserve">If no driver accepts before the assignment window closes, the rider is notified.</t>
  </si>
  <si>
    <t xml:space="preserve">Booking, edit, cancel, driver-assignment and reminder events are logged with ride ID, rider ID and timestamp.</t>
  </si>
  <si>
    <t xml:space="preserve">Screen ID</t>
  </si>
  <si>
    <t xml:space="preserve">Screen / state</t>
  </si>
  <si>
    <t xml:space="preserve">Prototype file</t>
  </si>
  <si>
    <t xml:space="preserve">Notes</t>
  </si>
  <si>
    <t xml:space="preserve">Schedule a ride</t>
  </si>
  <si>
    <t xml:space="preserve">Main.dc.html</t>
  </si>
  <si>
    <t xml:space="preserve">Wireframed</t>
  </si>
  <si>
    <t xml:space="preserve">Pickup/drop-off, date chips, time chips, fare estimate. 'Pick a date' does not open a calendar in the prototype.</t>
  </si>
  <si>
    <t xml:space="preserve">Review &amp; confirm</t>
  </si>
  <si>
    <t xml:space="preserve">Confirm.dc.html</t>
  </si>
  <si>
    <t xml:space="preserve">Trip summary, date/time, fare estimate, cancellation policy, Confirm booking.</t>
  </si>
  <si>
    <t xml:space="preserve">SCR-03</t>
  </si>
  <si>
    <t xml:space="preserve">Booking confirmed</t>
  </si>
  <si>
    <t xml:space="preserve">Confirmed.dc.html</t>
  </si>
  <si>
    <t xml:space="preserve">Success state, trip summary, reminder schedule (24h / 1h / 10 min).</t>
  </si>
  <si>
    <t xml:space="preserve">Your trips - list and trip details</t>
  </si>
  <si>
    <t xml:space="preserve">MyTrips.dc.html</t>
  </si>
  <si>
    <t xml:space="preserve">Scheduled rides list, trip details, Edit and Cancel ride actions.</t>
  </si>
  <si>
    <t xml:space="preserve">Your trips - cancel confirmation (free)</t>
  </si>
  <si>
    <t xml:space="preserve">MyTrips.dc.html (state)</t>
  </si>
  <si>
    <t xml:space="preserve">Shown after tapping Cancel ride on a ride more than 60 minutes away.</t>
  </si>
  <si>
    <t xml:space="preserve">Schedule a ride - no-supply warning with alternative times</t>
  </si>
  <si>
    <t xml:space="preserve">-</t>
  </si>
  <si>
    <t xml:space="preserve">Not wireframed</t>
  </si>
  <si>
    <t xml:space="preserve">Needed for AC-01.3.</t>
  </si>
  <si>
    <t xml:space="preserve">Your trips - cancel confirmation with fee</t>
  </si>
  <si>
    <t xml:space="preserve">Needed for AC-03.2 (prototype only shows the free-cancellation case).</t>
  </si>
  <si>
    <t xml:space="preserve">Your trips - empty state</t>
  </si>
  <si>
    <t xml:space="preserve">Needed for AC-02.3.</t>
  </si>
  <si>
    <t xml:space="preserve">Schedule a ride - invalid time error state</t>
  </si>
  <si>
    <t xml:space="preserve">Needed for AC-01.4. Error copy to be agreed.</t>
  </si>
  <si>
    <t xml:space="preserve">Push reminders and in-app notification center</t>
  </si>
  <si>
    <t xml:space="preserve">Needed for US-04.</t>
  </si>
  <si>
    <t xml:space="preserve">Driver app - scheduled trip request</t>
  </si>
  <si>
    <t xml:space="preserve">Needed for US-05. Driver app is outside the 4-screen rider prototype.</t>
  </si>
  <si>
    <t xml:space="preserve">Expected result</t>
  </si>
  <si>
    <t xml:space="preserve">Screen(s)</t>
  </si>
  <si>
    <t xml:space="preserve">Executed by</t>
  </si>
  <si>
    <t xml:space="preserve">Date</t>
  </si>
  <si>
    <t xml:space="preserve">Select a valid future date and time</t>
  </si>
  <si>
    <t xml:space="preserve">Positive</t>
  </si>
  <si>
    <t xml:space="preserve">High</t>
  </si>
  <si>
    <t xml:space="preserve">Date/time picker accepts a mid-range future slot and the summary shows it.</t>
  </si>
  <si>
    <t xml:space="preserve">Confirm booking shows confirmation details</t>
  </si>
  <si>
    <t xml:space="preserve">Confirmation lists pickup location, time and fare range; no charge until pickup.</t>
  </si>
  <si>
    <t xml:space="preserve">Earliest allowed time (15 minutes ahead) is accepted</t>
  </si>
  <si>
    <t xml:space="preserve">Boundary</t>
  </si>
  <si>
    <t xml:space="preserve">09:15 is accepted when the current time is 09:00.</t>
  </si>
  <si>
    <t xml:space="preserve">Latest allowed time (30 days ahead) is accepted</t>
  </si>
  <si>
    <t xml:space="preserve">Medium</t>
  </si>
  <si>
    <t xml:space="preserve">09:00 on 5 Nov is accepted (30 days after 6 Oct 09:00).</t>
  </si>
  <si>
    <t xml:space="preserve">Time less than 15 minutes ahead is rejected</t>
  </si>
  <si>
    <t xml:space="preserve">Negative</t>
  </si>
  <si>
    <t xml:space="preserve">Error shown and Review booking disabled.</t>
  </si>
  <si>
    <t xml:space="preserve">Time more than 30 days ahead is rejected</t>
  </si>
  <si>
    <t xml:space="preserve">09:15 on 5 Nov (just past 30 days) is rejected.</t>
  </si>
  <si>
    <t xml:space="preserve">No driver supply shows warning and alternative times</t>
  </si>
  <si>
    <t xml:space="preserve">Warning plus alternatives; no booking is created.</t>
  </si>
  <si>
    <t xml:space="preserve">Review screen shows summary, fare and cancellation policy</t>
  </si>
  <si>
    <t xml:space="preserve">All trip facts and the policy text are visible before confirming.</t>
  </si>
  <si>
    <t xml:space="preserve">Upcoming scheduled rides are listed</t>
  </si>
  <si>
    <t xml:space="preserve">Both rides appear with date, time and pickup/drop-off details.</t>
  </si>
  <si>
    <t xml:space="preserve">Ride details show Edit and Cancel options</t>
  </si>
  <si>
    <t xml:space="preserve">Details open with both actions available.</t>
  </si>
  <si>
    <t xml:space="preserve">Empty state when no rides are scheduled</t>
  </si>
  <si>
    <t xml:space="preserve">Alternate</t>
  </si>
  <si>
    <t xml:space="preserve">Empty state invites the rider to schedule a ride.</t>
  </si>
  <si>
    <t xml:space="preserve">Cancel more than 60 minutes before pickup is free</t>
  </si>
  <si>
    <t xml:space="preserve">Ride cancelled, no fee, confirmation shown.</t>
  </si>
  <si>
    <t xml:space="preserve">Cancel exactly 60 minutes before pickup (assumed free)</t>
  </si>
  <si>
    <t xml:space="preserve">Treated as free per BR-3 'up to the cutoff'. Pending product-owner confirmation (Q-01).</t>
  </si>
  <si>
    <t xml:space="preserve">Cancel within 60 minutes shows fee before confirming</t>
  </si>
  <si>
    <t xml:space="preserve">Fee displayed first; applied only after the rider confirms.</t>
  </si>
  <si>
    <t xml:space="preserve">Rider keeps the ride after opening cancel</t>
  </si>
  <si>
    <t xml:space="preserve">Ride unchanged, no fee.</t>
  </si>
  <si>
    <t xml:space="preserve">Edit pickup time re-validates availability</t>
  </si>
  <si>
    <t xml:space="preserve">New time saved and confirmation updated.</t>
  </si>
  <si>
    <t xml:space="preserve">Edit to a time with no supply is rejected</t>
  </si>
  <si>
    <t xml:space="preserve">Original booking retained.</t>
  </si>
  <si>
    <t xml:space="preserve">Edit is unavailable after dispatch</t>
  </si>
  <si>
    <t xml:space="preserve">Edit option disabled once a driver is en route.</t>
  </si>
  <si>
    <t xml:space="preserve">24-hour reminder is sent</t>
  </si>
  <si>
    <t xml:space="preserve">Push reminder at T-24h.</t>
  </si>
  <si>
    <t xml:space="preserve">1-hour and 10-minute reminders show driver status</t>
  </si>
  <si>
    <t xml:space="preserve">Reminders carry the driver assignment status.</t>
  </si>
  <si>
    <t xml:space="preserve">Notifications off still show in-app reminder</t>
  </si>
  <si>
    <t xml:space="preserve">Reminder appears in the notification center.</t>
  </si>
  <si>
    <t xml:space="preserve">No 24-hour reminder when booked less than 24 hours ahead</t>
  </si>
  <si>
    <t xml:space="preserve">Low</t>
  </si>
  <si>
    <t xml:space="preserve">Only the 1-hour and 10-minute reminders are sent.</t>
  </si>
  <si>
    <t xml:space="preserve">Cancelling a ride stops its reminders</t>
  </si>
  <si>
    <t xml:space="preserve">No reminders after cancellation.</t>
  </si>
  <si>
    <t xml:space="preserve">Driver receives request when the assignment window opens</t>
  </si>
  <si>
    <t xml:space="preserve">Request shows pickup time, location and fare.</t>
  </si>
  <si>
    <t xml:space="preserve">Accepting locks the trip to the driver</t>
  </si>
  <si>
    <t xml:space="preserve">Trip removed from other drivers' queues.</t>
  </si>
  <si>
    <t xml:space="preserve">Declined request is reassigned</t>
  </si>
  <si>
    <t xml:space="preserve">New driver offered, pickup time unchanged where possible.</t>
  </si>
  <si>
    <t xml:space="preserve">Unanswered request times out and is reassigned</t>
  </si>
  <si>
    <t xml:space="preserve">Same outcome as a decline.</t>
  </si>
  <si>
    <t xml:space="preserve">No driver accepts before the window closes</t>
  </si>
  <si>
    <t xml:space="preserve">Rider is notified (fallback to be defined - Q-05).</t>
  </si>
  <si>
    <t xml:space="preserve">Lifecycle events are logged</t>
  </si>
  <si>
    <t xml:space="preserve">Each event recorded with ride ID, rider ID and timestamp.</t>
  </si>
  <si>
    <t xml:space="preserve">ID</t>
  </si>
  <si>
    <t xml:space="preserve">Finding</t>
  </si>
  <si>
    <t xml:space="preserve">Impact</t>
  </si>
  <si>
    <t xml:space="preserve">Recommendation</t>
  </si>
  <si>
    <t xml:space="preserve">G-01</t>
  </si>
  <si>
    <t xml:space="preserve">Design gap</t>
  </si>
  <si>
    <t xml:space="preserve">No wireframe for the no-supply warning with alternative times (AC-01.3, TS-07, TS-17).</t>
  </si>
  <si>
    <t xml:space="preserve">BR-2 cannot be visually reviewed.</t>
  </si>
  <si>
    <t xml:space="preserve">Add SCR-05 state to the prototype.</t>
  </si>
  <si>
    <t xml:space="preserve">G-02</t>
  </si>
  <si>
    <t xml:space="preserve">No wireframe for invalid-time error (AC-01.4, TS-05, TS-06).</t>
  </si>
  <si>
    <t xml:space="preserve">Error copy and behaviour untested with stakeholders.</t>
  </si>
  <si>
    <t xml:space="preserve">Add SCR-08 and agree error wording.</t>
  </si>
  <si>
    <t xml:space="preserve">G-03</t>
  </si>
  <si>
    <t xml:space="preserve">No empty state for 'Your trips' (AC-02.3, TS-11).</t>
  </si>
  <si>
    <t xml:space="preserve">Edge case undesigned.</t>
  </si>
  <si>
    <t xml:space="preserve">Add SCR-07.</t>
  </si>
  <si>
    <t xml:space="preserve">G-04</t>
  </si>
  <si>
    <t xml:space="preserve">Cancel-with-fee state not wireframed; prototype shows only the free-cancel case (AC-03.2, TS-14).</t>
  </si>
  <si>
    <t xml:space="preserve">BR-6 fee disclosure unverified.</t>
  </si>
  <si>
    <t xml:space="preserve">Add SCR-06 showing fee amount.</t>
  </si>
  <si>
    <t xml:space="preserve">G-05</t>
  </si>
  <si>
    <t xml:space="preserve">No wireframes for push reminders or the in-app notification center (US-04).</t>
  </si>
  <si>
    <t xml:space="preserve">BR-4 channel behaviour unverified.</t>
  </si>
  <si>
    <t xml:space="preserve">Add NTF-01 mock-ups.</t>
  </si>
  <si>
    <t xml:space="preserve">G-06</t>
  </si>
  <si>
    <t xml:space="preserve">Driver-side request screen not wireframed (US-05).</t>
  </si>
  <si>
    <t xml:space="preserve">BR-5 has no visual reference.</t>
  </si>
  <si>
    <t xml:space="preserve">Add DRV-01 in a separate driver prototype.</t>
  </si>
  <si>
    <t xml:space="preserve">G-07</t>
  </si>
  <si>
    <t xml:space="preserve">Design simplification</t>
  </si>
  <si>
    <t xml:space="preserve">Prototype 'Edit' returns to a blank SCR-01 and 'Pick a date' opens no calendar.</t>
  </si>
  <si>
    <t xml:space="preserve">AC-03.3 flow only approximated.</t>
  </si>
  <si>
    <t xml:space="preserve">Add a pre-filled edit mode and date picker.</t>
  </si>
  <si>
    <t xml:space="preserve">Q-01</t>
  </si>
  <si>
    <t xml:space="preserve">Open question</t>
  </si>
  <si>
    <t xml:space="preserve">Cancellation boundary at exactly 60 minutes: BR-3 says 'up to the cutoff' (free) while AC-03.1 says 'more than 60' and AC-03.2 says 'within 60'.</t>
  </si>
  <si>
    <t xml:space="preserve">TS-13 outcome depends on the answer.</t>
  </si>
  <si>
    <t xml:space="preserve">Product owner to confirm; TS-13 assumes free.</t>
  </si>
  <si>
    <t xml:space="preserve">Q-02</t>
  </si>
  <si>
    <t xml:space="preserve">BG-03 and BG-05 have no KPI in the BRD.</t>
  </si>
  <si>
    <t xml:space="preserve">Goals cannot be measured.</t>
  </si>
  <si>
    <t xml:space="preserve">Stakeholders to propose metrics and owners.</t>
  </si>
  <si>
    <t xml:space="preserve">Q-03</t>
  </si>
  <si>
    <t xml:space="preserve">Cancellation fee amount/formula and driver compensation are not specified (BR-6).</t>
  </si>
  <si>
    <t xml:space="preserve">TS-14 cannot assert an amount.</t>
  </si>
  <si>
    <t xml:space="preserve">Define fee schedule.</t>
  </si>
  <si>
    <t xml:space="preserve">Q-04</t>
  </si>
  <si>
    <t xml:space="preserve">Can a rider cancel after dispatch, and at what fee? Scope only says edit/cancel 'before it is dispatched'.</t>
  </si>
  <si>
    <t xml:space="preserve">AC-03.5 only covers edit.</t>
  </si>
  <si>
    <t xml:space="preserve">Clarify post-dispatch cancel rules.</t>
  </si>
  <si>
    <t xml:space="preserve">Q-05</t>
  </si>
  <si>
    <t xml:space="preserve">Fallback if no driver accepts before pickup (reassignment window, escalation to on-demand pool, rider compensation).</t>
  </si>
  <si>
    <t xml:space="preserve">TS-28 expected result is incomplete.</t>
  </si>
  <si>
    <t xml:space="preserve">Define fallback and timeout values.</t>
  </si>
  <si>
    <t xml:space="preserve">Q-06</t>
  </si>
  <si>
    <t xml:space="preserve">'Reasonably likely' supply threshold (BR-2) is undefined.</t>
  </si>
  <si>
    <t xml:space="preserve">TS-07 and TS-17 need a testable rule.</t>
  </si>
  <si>
    <t xml:space="preserve">Engineering to define the threshold.</t>
  </si>
  <si>
    <t xml:space="preserve">Q-07</t>
  </si>
  <si>
    <t xml:space="preserve">BRD applies surge pricing at pickup, but the booking shows a fare range.</t>
  </si>
  <si>
    <t xml:space="preserve">Rider messaging may mislead.</t>
  </si>
  <si>
    <t xml:space="preserve">Confirm wording of the fare estimate.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</si>
</sst>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9DB"/>
      </patternFill>
    </fill>
    <fill>
      <patternFill patternType="solid">
        <fgColor rgb="FFFFF9D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61.9" hidden="false" customHeight="false" outlineLevel="0" collapsed="false">
      <c r="A1" s="1" t="s">
        <v>0</v>
      </c>
      <c r="B1" s="1"/>
    </row>
    <row r="2" customFormat="false" ht="46.2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3"/>
      <c r="B3" s="3"/>
    </row>
    <row r="4" customFormat="false" ht="23.85" hidden="false" customHeight="false" outlineLevel="0" collapsed="false">
      <c r="A4" s="4" t="s">
        <v>2</v>
      </c>
      <c r="B4" s="3" t="s">
        <v>3</v>
      </c>
    </row>
    <row r="5" customFormat="false" ht="23.85" hidden="false" customHeight="false" outlineLevel="0" collapsed="false">
      <c r="A5" s="4" t="s">
        <v>4</v>
      </c>
      <c r="B5" s="3" t="s">
        <v>5</v>
      </c>
    </row>
    <row r="6" customFormat="false" ht="23.85" hidden="false" customHeight="false" outlineLevel="0" collapsed="false">
      <c r="A6" s="4" t="s">
        <v>6</v>
      </c>
      <c r="B6" s="3" t="s">
        <v>7</v>
      </c>
    </row>
    <row r="7" customFormat="false" ht="15" hidden="false" customHeight="false" outlineLevel="0" collapsed="false">
      <c r="A7" s="3"/>
      <c r="B7" s="3"/>
    </row>
    <row r="8" customFormat="false" ht="15" hidden="false" customHeight="false" outlineLevel="0" collapsed="false">
      <c r="A8" s="5" t="s">
        <v>8</v>
      </c>
      <c r="B8" s="5" t="s">
        <v>9</v>
      </c>
    </row>
    <row r="9" customFormat="false" ht="15" hidden="false" customHeight="false" outlineLevel="0" collapsed="false">
      <c r="A9" s="4" t="s">
        <v>10</v>
      </c>
      <c r="B9" s="3" t="s">
        <v>11</v>
      </c>
    </row>
    <row r="10" customFormat="false" ht="15" hidden="false" customHeight="false" outlineLevel="0" collapsed="false">
      <c r="A10" s="4" t="s">
        <v>12</v>
      </c>
      <c r="B10" s="3" t="s">
        <v>13</v>
      </c>
    </row>
    <row r="11" customFormat="false" ht="15" hidden="false" customHeight="false" outlineLevel="0" collapsed="false">
      <c r="A11" s="4" t="s">
        <v>14</v>
      </c>
      <c r="B11" s="3" t="s">
        <v>15</v>
      </c>
    </row>
    <row r="12" customFormat="false" ht="15" hidden="false" customHeight="false" outlineLevel="0" collapsed="false">
      <c r="A12" s="4" t="s">
        <v>16</v>
      </c>
      <c r="B12" s="3" t="s">
        <v>17</v>
      </c>
    </row>
    <row r="13" customFormat="false" ht="15" hidden="false" customHeight="false" outlineLevel="0" collapsed="false">
      <c r="A13" s="4" t="s">
        <v>18</v>
      </c>
      <c r="B13" s="3" t="s">
        <v>19</v>
      </c>
    </row>
    <row r="14" customFormat="false" ht="15" hidden="false" customHeight="false" outlineLevel="0" collapsed="false">
      <c r="A14" s="4" t="s">
        <v>20</v>
      </c>
      <c r="B14" s="3" t="s">
        <v>21</v>
      </c>
    </row>
    <row r="15" customFormat="false" ht="15" hidden="false" customHeight="false" outlineLevel="0" collapsed="false">
      <c r="A15" s="4" t="s">
        <v>22</v>
      </c>
      <c r="B15" s="3" t="s">
        <v>23</v>
      </c>
    </row>
    <row r="16" customFormat="false" ht="15" hidden="false" customHeight="false" outlineLevel="0" collapsed="false">
      <c r="A16" s="4" t="s">
        <v>24</v>
      </c>
      <c r="B16" s="3" t="s">
        <v>25</v>
      </c>
    </row>
    <row r="17" customFormat="false" ht="15" hidden="false" customHeight="false" outlineLevel="0" collapsed="false">
      <c r="A17" s="4" t="s">
        <v>26</v>
      </c>
      <c r="B17" s="3" t="s">
        <v>27</v>
      </c>
    </row>
    <row r="18" customFormat="false" ht="15" hidden="false" customHeight="false" outlineLevel="0" collapsed="false">
      <c r="A18" s="3"/>
      <c r="B18" s="3"/>
    </row>
    <row r="19" customFormat="false" ht="23.85" hidden="false" customHeight="false" outlineLevel="0" collapsed="false">
      <c r="A19" s="4" t="s">
        <v>28</v>
      </c>
      <c r="B19" s="3" t="s">
        <v>29</v>
      </c>
    </row>
    <row r="20" customFormat="false" ht="23.85" hidden="false" customHeight="false" outlineLevel="0" collapsed="false">
      <c r="A20" s="4" t="s">
        <v>30</v>
      </c>
      <c r="B20" s="3" t="s">
        <v>31</v>
      </c>
    </row>
    <row r="21" customFormat="false" ht="15" hidden="false" customHeight="false" outlineLevel="0" collapsed="false">
      <c r="A21" s="4" t="s">
        <v>32</v>
      </c>
      <c r="B21" s="3" t="s">
        <v>33</v>
      </c>
    </row>
    <row r="22" customFormat="false" ht="35.05" hidden="false" customHeight="false" outlineLevel="0" collapsed="false">
      <c r="A22" s="4" t="s">
        <v>34</v>
      </c>
      <c r="B22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N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46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</cols>
  <sheetData>
    <row r="1" customFormat="false" ht="31.5" hidden="false" customHeight="true" outlineLevel="0" collapsed="false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</row>
    <row r="2" customFormat="false" ht="15" hidden="false" customHeight="false" outlineLevel="0" collapsed="false">
      <c r="A2" s="7" t="s">
        <v>50</v>
      </c>
      <c r="B2" s="7" t="s">
        <v>51</v>
      </c>
      <c r="C2" s="7" t="s">
        <v>52</v>
      </c>
      <c r="D2" s="7" t="s">
        <v>53</v>
      </c>
      <c r="E2" s="7" t="s">
        <v>54</v>
      </c>
      <c r="F2" s="7" t="s">
        <v>55</v>
      </c>
      <c r="G2" s="7" t="s">
        <v>56</v>
      </c>
      <c r="H2" s="7" t="str">
        <f aca="false">INDEX('Acceptance Criteria'!$G$2:$G$24,MATCH(E2,'Acceptance Criteria'!$A$2:$A$24,0))</f>
        <v>Wireframed</v>
      </c>
      <c r="I2" s="7" t="s">
        <v>57</v>
      </c>
      <c r="J2" s="7" t="str">
        <f aca="false">INDEX('Test Scenarios'!$E$2:$E$30,MATCH(I2,'Test Scenarios'!$A$2:$A$30,0))</f>
        <v>Select a valid future date and time</v>
      </c>
      <c r="K2" s="7" t="str">
        <f aca="false">INDEX('Test Scenarios'!$F$2:$F$30,MATCH(I2,'Test Scenarios'!$A$2:$A$30,0))</f>
        <v>Positive</v>
      </c>
      <c r="L2" s="7" t="str">
        <f aca="false">INDEX('Test Scenarios'!$G$2:$G$30,MATCH(I2,'Test Scenarios'!$A$2:$A$30,0))</f>
        <v>High</v>
      </c>
      <c r="M2" s="7" t="str">
        <f aca="false">INDEX('Test Scenarios'!$K$2:$K$30,MATCH(I2,'Test Scenarios'!$A$2:$A$30,0))</f>
        <v>Not run</v>
      </c>
      <c r="N2" s="7" t="s">
        <v>58</v>
      </c>
    </row>
    <row r="3" customFormat="false" ht="15" hidden="false" customHeight="false" outlineLevel="0" collapsed="false">
      <c r="A3" s="8" t="s">
        <v>59</v>
      </c>
      <c r="B3" s="8" t="s">
        <v>51</v>
      </c>
      <c r="C3" s="8" t="s">
        <v>52</v>
      </c>
      <c r="D3" s="8" t="s">
        <v>53</v>
      </c>
      <c r="E3" s="8" t="s">
        <v>60</v>
      </c>
      <c r="F3" s="8" t="s">
        <v>55</v>
      </c>
      <c r="G3" s="8" t="s">
        <v>61</v>
      </c>
      <c r="H3" s="8" t="str">
        <f aca="false">INDEX('Acceptance Criteria'!$G$2:$G$24,MATCH(E3,'Acceptance Criteria'!$A$2:$A$24,0))</f>
        <v>Wireframed</v>
      </c>
      <c r="I3" s="8" t="s">
        <v>62</v>
      </c>
      <c r="J3" s="8" t="str">
        <f aca="false">INDEX('Test Scenarios'!$E$2:$E$30,MATCH(I3,'Test Scenarios'!$A$2:$A$30,0))</f>
        <v>Confirm booking shows confirmation details</v>
      </c>
      <c r="K3" s="8" t="str">
        <f aca="false">INDEX('Test Scenarios'!$F$2:$F$30,MATCH(I3,'Test Scenarios'!$A$2:$A$30,0))</f>
        <v>Positive</v>
      </c>
      <c r="L3" s="8" t="str">
        <f aca="false">INDEX('Test Scenarios'!$G$2:$G$30,MATCH(I3,'Test Scenarios'!$A$2:$A$30,0))</f>
        <v>High</v>
      </c>
      <c r="M3" s="8" t="str">
        <f aca="false">INDEX('Test Scenarios'!$K$2:$K$30,MATCH(I3,'Test Scenarios'!$A$2:$A$30,0))</f>
        <v>Not run</v>
      </c>
      <c r="N3" s="8" t="s">
        <v>63</v>
      </c>
    </row>
    <row r="4" customFormat="false" ht="15" hidden="false" customHeight="false" outlineLevel="0" collapsed="false">
      <c r="A4" s="7" t="s">
        <v>64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  <c r="G4" s="7" t="s">
        <v>56</v>
      </c>
      <c r="H4" s="7" t="str">
        <f aca="false">INDEX('Acceptance Criteria'!$G$2:$G$24,MATCH(E4,'Acceptance Criteria'!$A$2:$A$24,0))</f>
        <v>Wireframed</v>
      </c>
      <c r="I4" s="7" t="s">
        <v>65</v>
      </c>
      <c r="J4" s="7" t="str">
        <f aca="false">INDEX('Test Scenarios'!$E$2:$E$30,MATCH(I4,'Test Scenarios'!$A$2:$A$30,0))</f>
        <v>Earliest allowed time (15 minutes ahead) is accepted</v>
      </c>
      <c r="K4" s="7" t="str">
        <f aca="false">INDEX('Test Scenarios'!$F$2:$F$30,MATCH(I4,'Test Scenarios'!$A$2:$A$30,0))</f>
        <v>Boundary</v>
      </c>
      <c r="L4" s="7" t="str">
        <f aca="false">INDEX('Test Scenarios'!$G$2:$G$30,MATCH(I4,'Test Scenarios'!$A$2:$A$30,0))</f>
        <v>High</v>
      </c>
      <c r="M4" s="7" t="str">
        <f aca="false">INDEX('Test Scenarios'!$K$2:$K$30,MATCH(I4,'Test Scenarios'!$A$2:$A$30,0))</f>
        <v>Not run</v>
      </c>
      <c r="N4" s="7" t="s">
        <v>66</v>
      </c>
    </row>
    <row r="5" customFormat="false" ht="15" hidden="false" customHeight="false" outlineLevel="0" collapsed="false">
      <c r="A5" s="8" t="s">
        <v>67</v>
      </c>
      <c r="B5" s="8" t="s">
        <v>51</v>
      </c>
      <c r="C5" s="8" t="s">
        <v>52</v>
      </c>
      <c r="D5" s="8" t="s">
        <v>53</v>
      </c>
      <c r="E5" s="8" t="s">
        <v>54</v>
      </c>
      <c r="F5" s="8" t="s">
        <v>55</v>
      </c>
      <c r="G5" s="8" t="s">
        <v>56</v>
      </c>
      <c r="H5" s="8" t="str">
        <f aca="false">INDEX('Acceptance Criteria'!$G$2:$G$24,MATCH(E5,'Acceptance Criteria'!$A$2:$A$24,0))</f>
        <v>Wireframed</v>
      </c>
      <c r="I5" s="8" t="s">
        <v>68</v>
      </c>
      <c r="J5" s="8" t="str">
        <f aca="false">INDEX('Test Scenarios'!$E$2:$E$30,MATCH(I5,'Test Scenarios'!$A$2:$A$30,0))</f>
        <v>Latest allowed time (30 days ahead) is accepted</v>
      </c>
      <c r="K5" s="8" t="str">
        <f aca="false">INDEX('Test Scenarios'!$F$2:$F$30,MATCH(I5,'Test Scenarios'!$A$2:$A$30,0))</f>
        <v>Boundary</v>
      </c>
      <c r="L5" s="8" t="str">
        <f aca="false">INDEX('Test Scenarios'!$G$2:$G$30,MATCH(I5,'Test Scenarios'!$A$2:$A$30,0))</f>
        <v>Medium</v>
      </c>
      <c r="M5" s="8" t="str">
        <f aca="false">INDEX('Test Scenarios'!$K$2:$K$30,MATCH(I5,'Test Scenarios'!$A$2:$A$30,0))</f>
        <v>Not run</v>
      </c>
      <c r="N5" s="8" t="s">
        <v>69</v>
      </c>
    </row>
    <row r="6" customFormat="false" ht="15" hidden="false" customHeight="false" outlineLevel="0" collapsed="false">
      <c r="A6" s="7" t="s">
        <v>70</v>
      </c>
      <c r="B6" s="7" t="s">
        <v>51</v>
      </c>
      <c r="C6" s="7" t="s">
        <v>52</v>
      </c>
      <c r="D6" s="7" t="s">
        <v>53</v>
      </c>
      <c r="E6" s="7" t="s">
        <v>71</v>
      </c>
      <c r="F6" s="7" t="s">
        <v>72</v>
      </c>
      <c r="G6" s="7" t="s">
        <v>73</v>
      </c>
      <c r="H6" s="7" t="str">
        <f aca="false">INDEX('Acceptance Criteria'!$G$2:$G$24,MATCH(E6,'Acceptance Criteria'!$A$2:$A$24,0))</f>
        <v>Gap</v>
      </c>
      <c r="I6" s="7" t="s">
        <v>74</v>
      </c>
      <c r="J6" s="7" t="str">
        <f aca="false">INDEX('Test Scenarios'!$E$2:$E$30,MATCH(I6,'Test Scenarios'!$A$2:$A$30,0))</f>
        <v>Time less than 15 minutes ahead is rejected</v>
      </c>
      <c r="K6" s="7" t="str">
        <f aca="false">INDEX('Test Scenarios'!$F$2:$F$30,MATCH(I6,'Test Scenarios'!$A$2:$A$30,0))</f>
        <v>Negative</v>
      </c>
      <c r="L6" s="7" t="str">
        <f aca="false">INDEX('Test Scenarios'!$G$2:$G$30,MATCH(I6,'Test Scenarios'!$A$2:$A$30,0))</f>
        <v>High</v>
      </c>
      <c r="M6" s="7" t="str">
        <f aca="false">INDEX('Test Scenarios'!$K$2:$K$30,MATCH(I6,'Test Scenarios'!$A$2:$A$30,0))</f>
        <v>Not run</v>
      </c>
      <c r="N6" s="7" t="s">
        <v>75</v>
      </c>
    </row>
    <row r="7" customFormat="false" ht="15" hidden="false" customHeight="false" outlineLevel="0" collapsed="false">
      <c r="A7" s="8" t="s">
        <v>76</v>
      </c>
      <c r="B7" s="8" t="s">
        <v>51</v>
      </c>
      <c r="C7" s="8" t="s">
        <v>52</v>
      </c>
      <c r="D7" s="8" t="s">
        <v>53</v>
      </c>
      <c r="E7" s="8" t="s">
        <v>71</v>
      </c>
      <c r="F7" s="8" t="s">
        <v>72</v>
      </c>
      <c r="G7" s="8" t="s">
        <v>73</v>
      </c>
      <c r="H7" s="8" t="str">
        <f aca="false">INDEX('Acceptance Criteria'!$G$2:$G$24,MATCH(E7,'Acceptance Criteria'!$A$2:$A$24,0))</f>
        <v>Gap</v>
      </c>
      <c r="I7" s="8" t="s">
        <v>77</v>
      </c>
      <c r="J7" s="8" t="str">
        <f aca="false">INDEX('Test Scenarios'!$E$2:$E$30,MATCH(I7,'Test Scenarios'!$A$2:$A$30,0))</f>
        <v>Time more than 30 days ahead is rejected</v>
      </c>
      <c r="K7" s="8" t="str">
        <f aca="false">INDEX('Test Scenarios'!$F$2:$F$30,MATCH(I7,'Test Scenarios'!$A$2:$A$30,0))</f>
        <v>Negative</v>
      </c>
      <c r="L7" s="8" t="str">
        <f aca="false">INDEX('Test Scenarios'!$G$2:$G$30,MATCH(I7,'Test Scenarios'!$A$2:$A$30,0))</f>
        <v>Medium</v>
      </c>
      <c r="M7" s="8" t="str">
        <f aca="false">INDEX('Test Scenarios'!$K$2:$K$30,MATCH(I7,'Test Scenarios'!$A$2:$A$30,0))</f>
        <v>Not run</v>
      </c>
      <c r="N7" s="8" t="s">
        <v>78</v>
      </c>
    </row>
    <row r="8" customFormat="false" ht="15" hidden="false" customHeight="false" outlineLevel="0" collapsed="false">
      <c r="A8" s="7" t="s">
        <v>79</v>
      </c>
      <c r="B8" s="7" t="s">
        <v>80</v>
      </c>
      <c r="C8" s="7" t="s">
        <v>81</v>
      </c>
      <c r="D8" s="7" t="s">
        <v>53</v>
      </c>
      <c r="E8" s="7" t="s">
        <v>82</v>
      </c>
      <c r="F8" s="7" t="s">
        <v>55</v>
      </c>
      <c r="G8" s="7" t="s">
        <v>83</v>
      </c>
      <c r="H8" s="7" t="str">
        <f aca="false">INDEX('Acceptance Criteria'!$G$2:$G$24,MATCH(E8,'Acceptance Criteria'!$A$2:$A$24,0))</f>
        <v>Gap</v>
      </c>
      <c r="I8" s="7" t="s">
        <v>84</v>
      </c>
      <c r="J8" s="7" t="str">
        <f aca="false">INDEX('Test Scenarios'!$E$2:$E$30,MATCH(I8,'Test Scenarios'!$A$2:$A$30,0))</f>
        <v>No driver supply shows warning and alternative times</v>
      </c>
      <c r="K8" s="7" t="str">
        <f aca="false">INDEX('Test Scenarios'!$F$2:$F$30,MATCH(I8,'Test Scenarios'!$A$2:$A$30,0))</f>
        <v>Negative</v>
      </c>
      <c r="L8" s="7" t="str">
        <f aca="false">INDEX('Test Scenarios'!$G$2:$G$30,MATCH(I8,'Test Scenarios'!$A$2:$A$30,0))</f>
        <v>High</v>
      </c>
      <c r="M8" s="7" t="str">
        <f aca="false">INDEX('Test Scenarios'!$K$2:$K$30,MATCH(I8,'Test Scenarios'!$A$2:$A$30,0))</f>
        <v>Not run</v>
      </c>
      <c r="N8" s="7" t="s">
        <v>85</v>
      </c>
    </row>
    <row r="9" customFormat="false" ht="23.85" hidden="false" customHeight="false" outlineLevel="0" collapsed="false">
      <c r="A9" s="8" t="s">
        <v>86</v>
      </c>
      <c r="B9" s="8" t="s">
        <v>87</v>
      </c>
      <c r="C9" s="8" t="s">
        <v>88</v>
      </c>
      <c r="D9" s="8" t="s">
        <v>53</v>
      </c>
      <c r="E9" s="8" t="s">
        <v>89</v>
      </c>
      <c r="F9" s="8" t="s">
        <v>72</v>
      </c>
      <c r="G9" s="8" t="s">
        <v>90</v>
      </c>
      <c r="H9" s="8" t="str">
        <f aca="false">INDEX('Acceptance Criteria'!$G$2:$G$24,MATCH(E9,'Acceptance Criteria'!$A$2:$A$24,0))</f>
        <v>Wireframed</v>
      </c>
      <c r="I9" s="8" t="s">
        <v>91</v>
      </c>
      <c r="J9" s="8" t="str">
        <f aca="false">INDEX('Test Scenarios'!$E$2:$E$30,MATCH(I9,'Test Scenarios'!$A$2:$A$30,0))</f>
        <v>Review screen shows summary, fare and cancellation policy</v>
      </c>
      <c r="K9" s="8" t="str">
        <f aca="false">INDEX('Test Scenarios'!$F$2:$F$30,MATCH(I9,'Test Scenarios'!$A$2:$A$30,0))</f>
        <v>Positive</v>
      </c>
      <c r="L9" s="8" t="str">
        <f aca="false">INDEX('Test Scenarios'!$G$2:$G$30,MATCH(I9,'Test Scenarios'!$A$2:$A$30,0))</f>
        <v>Medium</v>
      </c>
      <c r="M9" s="8" t="str">
        <f aca="false">INDEX('Test Scenarios'!$K$2:$K$30,MATCH(I9,'Test Scenarios'!$A$2:$A$30,0))</f>
        <v>Not run</v>
      </c>
      <c r="N9" s="8" t="s">
        <v>92</v>
      </c>
    </row>
    <row r="10" customFormat="false" ht="15" hidden="false" customHeight="false" outlineLevel="0" collapsed="false">
      <c r="A10" s="7" t="s">
        <v>93</v>
      </c>
      <c r="B10" s="7" t="s">
        <v>94</v>
      </c>
      <c r="C10" s="7" t="s">
        <v>95</v>
      </c>
      <c r="D10" s="7" t="s">
        <v>96</v>
      </c>
      <c r="E10" s="7" t="s">
        <v>97</v>
      </c>
      <c r="F10" s="7" t="s">
        <v>55</v>
      </c>
      <c r="G10" s="7" t="s">
        <v>98</v>
      </c>
      <c r="H10" s="7" t="str">
        <f aca="false">INDEX('Acceptance Criteria'!$G$2:$G$24,MATCH(E10,'Acceptance Criteria'!$A$2:$A$24,0))</f>
        <v>Wireframed</v>
      </c>
      <c r="I10" s="7" t="s">
        <v>99</v>
      </c>
      <c r="J10" s="7" t="str">
        <f aca="false">INDEX('Test Scenarios'!$E$2:$E$30,MATCH(I10,'Test Scenarios'!$A$2:$A$30,0))</f>
        <v>Upcoming scheduled rides are listed</v>
      </c>
      <c r="K10" s="7" t="str">
        <f aca="false">INDEX('Test Scenarios'!$F$2:$F$30,MATCH(I10,'Test Scenarios'!$A$2:$A$30,0))</f>
        <v>Positive</v>
      </c>
      <c r="L10" s="7" t="str">
        <f aca="false">INDEX('Test Scenarios'!$G$2:$G$30,MATCH(I10,'Test Scenarios'!$A$2:$A$30,0))</f>
        <v>High</v>
      </c>
      <c r="M10" s="7" t="str">
        <f aca="false">INDEX('Test Scenarios'!$K$2:$K$30,MATCH(I10,'Test Scenarios'!$A$2:$A$30,0))</f>
        <v>Not run</v>
      </c>
      <c r="N10" s="7" t="s">
        <v>100</v>
      </c>
    </row>
    <row r="11" customFormat="false" ht="15" hidden="false" customHeight="false" outlineLevel="0" collapsed="false">
      <c r="A11" s="8" t="s">
        <v>101</v>
      </c>
      <c r="B11" s="8" t="s">
        <v>94</v>
      </c>
      <c r="C11" s="8" t="s">
        <v>95</v>
      </c>
      <c r="D11" s="8" t="s">
        <v>96</v>
      </c>
      <c r="E11" s="8" t="s">
        <v>102</v>
      </c>
      <c r="F11" s="8" t="s">
        <v>55</v>
      </c>
      <c r="G11" s="8" t="s">
        <v>98</v>
      </c>
      <c r="H11" s="8" t="str">
        <f aca="false">INDEX('Acceptance Criteria'!$G$2:$G$24,MATCH(E11,'Acceptance Criteria'!$A$2:$A$24,0))</f>
        <v>Wireframed</v>
      </c>
      <c r="I11" s="8" t="s">
        <v>103</v>
      </c>
      <c r="J11" s="8" t="str">
        <f aca="false">INDEX('Test Scenarios'!$E$2:$E$30,MATCH(I11,'Test Scenarios'!$A$2:$A$30,0))</f>
        <v>Ride details show Edit and Cancel options</v>
      </c>
      <c r="K11" s="8" t="str">
        <f aca="false">INDEX('Test Scenarios'!$F$2:$F$30,MATCH(I11,'Test Scenarios'!$A$2:$A$30,0))</f>
        <v>Positive</v>
      </c>
      <c r="L11" s="8" t="str">
        <f aca="false">INDEX('Test Scenarios'!$G$2:$G$30,MATCH(I11,'Test Scenarios'!$A$2:$A$30,0))</f>
        <v>High</v>
      </c>
      <c r="M11" s="8" t="str">
        <f aca="false">INDEX('Test Scenarios'!$K$2:$K$30,MATCH(I11,'Test Scenarios'!$A$2:$A$30,0))</f>
        <v>Not run</v>
      </c>
      <c r="N11" s="8" t="s">
        <v>104</v>
      </c>
    </row>
    <row r="12" customFormat="false" ht="15" hidden="false" customHeight="false" outlineLevel="0" collapsed="false">
      <c r="A12" s="7" t="s">
        <v>105</v>
      </c>
      <c r="B12" s="7" t="s">
        <v>94</v>
      </c>
      <c r="C12" s="7" t="s">
        <v>95</v>
      </c>
      <c r="D12" s="7" t="s">
        <v>96</v>
      </c>
      <c r="E12" s="7" t="s">
        <v>106</v>
      </c>
      <c r="F12" s="7" t="s">
        <v>55</v>
      </c>
      <c r="G12" s="7" t="s">
        <v>107</v>
      </c>
      <c r="H12" s="7" t="str">
        <f aca="false">INDEX('Acceptance Criteria'!$G$2:$G$24,MATCH(E12,'Acceptance Criteria'!$A$2:$A$24,0))</f>
        <v>Gap</v>
      </c>
      <c r="I12" s="7" t="s">
        <v>108</v>
      </c>
      <c r="J12" s="7" t="str">
        <f aca="false">INDEX('Test Scenarios'!$E$2:$E$30,MATCH(I12,'Test Scenarios'!$A$2:$A$30,0))</f>
        <v>Empty state when no rides are scheduled</v>
      </c>
      <c r="K12" s="7" t="str">
        <f aca="false">INDEX('Test Scenarios'!$F$2:$F$30,MATCH(I12,'Test Scenarios'!$A$2:$A$30,0))</f>
        <v>Alternate</v>
      </c>
      <c r="L12" s="7" t="str">
        <f aca="false">INDEX('Test Scenarios'!$G$2:$G$30,MATCH(I12,'Test Scenarios'!$A$2:$A$30,0))</f>
        <v>Medium</v>
      </c>
      <c r="M12" s="7" t="str">
        <f aca="false">INDEX('Test Scenarios'!$K$2:$K$30,MATCH(I12,'Test Scenarios'!$A$2:$A$30,0))</f>
        <v>Not run</v>
      </c>
      <c r="N12" s="7" t="s">
        <v>109</v>
      </c>
    </row>
    <row r="13" customFormat="false" ht="15" hidden="false" customHeight="false" outlineLevel="0" collapsed="false">
      <c r="A13" s="8" t="s">
        <v>110</v>
      </c>
      <c r="B13" s="8" t="s">
        <v>94</v>
      </c>
      <c r="C13" s="8" t="s">
        <v>95</v>
      </c>
      <c r="D13" s="8" t="s">
        <v>111</v>
      </c>
      <c r="E13" s="8" t="s">
        <v>112</v>
      </c>
      <c r="F13" s="8" t="s">
        <v>55</v>
      </c>
      <c r="G13" s="8" t="s">
        <v>113</v>
      </c>
      <c r="H13" s="8" t="str">
        <f aca="false">INDEX('Acceptance Criteria'!$G$2:$G$24,MATCH(E13,'Acceptance Criteria'!$A$2:$A$24,0))</f>
        <v>Wireframed</v>
      </c>
      <c r="I13" s="8" t="s">
        <v>114</v>
      </c>
      <c r="J13" s="8" t="str">
        <f aca="false">INDEX('Test Scenarios'!$E$2:$E$30,MATCH(I13,'Test Scenarios'!$A$2:$A$30,0))</f>
        <v>Cancel more than 60 minutes before pickup is free</v>
      </c>
      <c r="K13" s="8" t="str">
        <f aca="false">INDEX('Test Scenarios'!$F$2:$F$30,MATCH(I13,'Test Scenarios'!$A$2:$A$30,0))</f>
        <v>Positive</v>
      </c>
      <c r="L13" s="8" t="str">
        <f aca="false">INDEX('Test Scenarios'!$G$2:$G$30,MATCH(I13,'Test Scenarios'!$A$2:$A$30,0))</f>
        <v>High</v>
      </c>
      <c r="M13" s="8" t="str">
        <f aca="false">INDEX('Test Scenarios'!$K$2:$K$30,MATCH(I13,'Test Scenarios'!$A$2:$A$30,0))</f>
        <v>Not run</v>
      </c>
      <c r="N13" s="8" t="s">
        <v>115</v>
      </c>
    </row>
    <row r="14" customFormat="false" ht="15" hidden="false" customHeight="false" outlineLevel="0" collapsed="false">
      <c r="A14" s="7" t="s">
        <v>116</v>
      </c>
      <c r="B14" s="7" t="s">
        <v>94</v>
      </c>
      <c r="C14" s="7" t="s">
        <v>95</v>
      </c>
      <c r="D14" s="7" t="s">
        <v>111</v>
      </c>
      <c r="E14" s="7" t="s">
        <v>112</v>
      </c>
      <c r="F14" s="7" t="s">
        <v>55</v>
      </c>
      <c r="G14" s="7" t="s">
        <v>113</v>
      </c>
      <c r="H14" s="7" t="str">
        <f aca="false">INDEX('Acceptance Criteria'!$G$2:$G$24,MATCH(E14,'Acceptance Criteria'!$A$2:$A$24,0))</f>
        <v>Wireframed</v>
      </c>
      <c r="I14" s="7" t="s">
        <v>117</v>
      </c>
      <c r="J14" s="7" t="str">
        <f aca="false">INDEX('Test Scenarios'!$E$2:$E$30,MATCH(I14,'Test Scenarios'!$A$2:$A$30,0))</f>
        <v>Cancel exactly 60 minutes before pickup (assumed free)</v>
      </c>
      <c r="K14" s="7" t="str">
        <f aca="false">INDEX('Test Scenarios'!$F$2:$F$30,MATCH(I14,'Test Scenarios'!$A$2:$A$30,0))</f>
        <v>Boundary</v>
      </c>
      <c r="L14" s="7" t="str">
        <f aca="false">INDEX('Test Scenarios'!$G$2:$G$30,MATCH(I14,'Test Scenarios'!$A$2:$A$30,0))</f>
        <v>High</v>
      </c>
      <c r="M14" s="7" t="str">
        <f aca="false">INDEX('Test Scenarios'!$K$2:$K$30,MATCH(I14,'Test Scenarios'!$A$2:$A$30,0))</f>
        <v>Not run</v>
      </c>
      <c r="N14" s="7" t="s">
        <v>118</v>
      </c>
    </row>
    <row r="15" customFormat="false" ht="15" hidden="false" customHeight="false" outlineLevel="0" collapsed="false">
      <c r="A15" s="8" t="s">
        <v>119</v>
      </c>
      <c r="B15" s="8" t="s">
        <v>87</v>
      </c>
      <c r="C15" s="8" t="s">
        <v>88</v>
      </c>
      <c r="D15" s="8" t="s">
        <v>111</v>
      </c>
      <c r="E15" s="8" t="s">
        <v>120</v>
      </c>
      <c r="F15" s="8" t="s">
        <v>55</v>
      </c>
      <c r="G15" s="8" t="s">
        <v>121</v>
      </c>
      <c r="H15" s="8" t="str">
        <f aca="false">INDEX('Acceptance Criteria'!$G$2:$G$24,MATCH(E15,'Acceptance Criteria'!$A$2:$A$24,0))</f>
        <v>Gap</v>
      </c>
      <c r="I15" s="8" t="s">
        <v>122</v>
      </c>
      <c r="J15" s="8" t="str">
        <f aca="false">INDEX('Test Scenarios'!$E$2:$E$30,MATCH(I15,'Test Scenarios'!$A$2:$A$30,0))</f>
        <v>Cancel within 60 minutes shows fee before confirming</v>
      </c>
      <c r="K15" s="8" t="str">
        <f aca="false">INDEX('Test Scenarios'!$F$2:$F$30,MATCH(I15,'Test Scenarios'!$A$2:$A$30,0))</f>
        <v>Negative</v>
      </c>
      <c r="L15" s="8" t="str">
        <f aca="false">INDEX('Test Scenarios'!$G$2:$G$30,MATCH(I15,'Test Scenarios'!$A$2:$A$30,0))</f>
        <v>High</v>
      </c>
      <c r="M15" s="8" t="str">
        <f aca="false">INDEX('Test Scenarios'!$K$2:$K$30,MATCH(I15,'Test Scenarios'!$A$2:$A$30,0))</f>
        <v>Not run</v>
      </c>
      <c r="N15" s="8" t="s">
        <v>123</v>
      </c>
    </row>
    <row r="16" customFormat="false" ht="15" hidden="false" customHeight="false" outlineLevel="0" collapsed="false">
      <c r="A16" s="7" t="s">
        <v>124</v>
      </c>
      <c r="B16" s="7" t="s">
        <v>94</v>
      </c>
      <c r="C16" s="7" t="s">
        <v>95</v>
      </c>
      <c r="D16" s="7" t="s">
        <v>111</v>
      </c>
      <c r="E16" s="7" t="s">
        <v>125</v>
      </c>
      <c r="F16" s="7" t="s">
        <v>72</v>
      </c>
      <c r="G16" s="7" t="s">
        <v>126</v>
      </c>
      <c r="H16" s="7" t="str">
        <f aca="false">INDEX('Acceptance Criteria'!$G$2:$G$24,MATCH(E16,'Acceptance Criteria'!$A$2:$A$24,0))</f>
        <v>Wireframed</v>
      </c>
      <c r="I16" s="7" t="s">
        <v>127</v>
      </c>
      <c r="J16" s="7" t="str">
        <f aca="false">INDEX('Test Scenarios'!$E$2:$E$30,MATCH(I16,'Test Scenarios'!$A$2:$A$30,0))</f>
        <v>Rider keeps the ride after opening cancel</v>
      </c>
      <c r="K16" s="7" t="str">
        <f aca="false">INDEX('Test Scenarios'!$F$2:$F$30,MATCH(I16,'Test Scenarios'!$A$2:$A$30,0))</f>
        <v>Alternate</v>
      </c>
      <c r="L16" s="7" t="str">
        <f aca="false">INDEX('Test Scenarios'!$G$2:$G$30,MATCH(I16,'Test Scenarios'!$A$2:$A$30,0))</f>
        <v>Medium</v>
      </c>
      <c r="M16" s="7" t="str">
        <f aca="false">INDEX('Test Scenarios'!$K$2:$K$30,MATCH(I16,'Test Scenarios'!$A$2:$A$30,0))</f>
        <v>Not run</v>
      </c>
      <c r="N16" s="7" t="s">
        <v>128</v>
      </c>
    </row>
    <row r="17" customFormat="false" ht="15" hidden="false" customHeight="false" outlineLevel="0" collapsed="false">
      <c r="A17" s="8" t="s">
        <v>129</v>
      </c>
      <c r="B17" s="8" t="s">
        <v>94</v>
      </c>
      <c r="C17" s="8" t="s">
        <v>95</v>
      </c>
      <c r="D17" s="8" t="s">
        <v>111</v>
      </c>
      <c r="E17" s="8" t="s">
        <v>130</v>
      </c>
      <c r="F17" s="8" t="s">
        <v>55</v>
      </c>
      <c r="G17" s="8" t="s">
        <v>131</v>
      </c>
      <c r="H17" s="8" t="str">
        <f aca="false">INDEX('Acceptance Criteria'!$G$2:$G$24,MATCH(E17,'Acceptance Criteria'!$A$2:$A$24,0))</f>
        <v>Wireframed</v>
      </c>
      <c r="I17" s="8" t="s">
        <v>132</v>
      </c>
      <c r="J17" s="8" t="str">
        <f aca="false">INDEX('Test Scenarios'!$E$2:$E$30,MATCH(I17,'Test Scenarios'!$A$2:$A$30,0))</f>
        <v>Edit pickup time re-validates availability</v>
      </c>
      <c r="K17" s="8" t="str">
        <f aca="false">INDEX('Test Scenarios'!$F$2:$F$30,MATCH(I17,'Test Scenarios'!$A$2:$A$30,0))</f>
        <v>Positive</v>
      </c>
      <c r="L17" s="8" t="str">
        <f aca="false">INDEX('Test Scenarios'!$G$2:$G$30,MATCH(I17,'Test Scenarios'!$A$2:$A$30,0))</f>
        <v>High</v>
      </c>
      <c r="M17" s="8" t="str">
        <f aca="false">INDEX('Test Scenarios'!$K$2:$K$30,MATCH(I17,'Test Scenarios'!$A$2:$A$30,0))</f>
        <v>Not run</v>
      </c>
      <c r="N17" s="8" t="s">
        <v>133</v>
      </c>
    </row>
    <row r="18" customFormat="false" ht="15" hidden="false" customHeight="false" outlineLevel="0" collapsed="false">
      <c r="A18" s="7" t="s">
        <v>134</v>
      </c>
      <c r="B18" s="7" t="s">
        <v>94</v>
      </c>
      <c r="C18" s="7" t="s">
        <v>95</v>
      </c>
      <c r="D18" s="7" t="s">
        <v>111</v>
      </c>
      <c r="E18" s="7" t="s">
        <v>130</v>
      </c>
      <c r="F18" s="7" t="s">
        <v>55</v>
      </c>
      <c r="G18" s="7" t="s">
        <v>131</v>
      </c>
      <c r="H18" s="7" t="str">
        <f aca="false">INDEX('Acceptance Criteria'!$G$2:$G$24,MATCH(E18,'Acceptance Criteria'!$A$2:$A$24,0))</f>
        <v>Wireframed</v>
      </c>
      <c r="I18" s="7" t="s">
        <v>135</v>
      </c>
      <c r="J18" s="7" t="str">
        <f aca="false">INDEX('Test Scenarios'!$E$2:$E$30,MATCH(I18,'Test Scenarios'!$A$2:$A$30,0))</f>
        <v>Edit to a time with no supply is rejected</v>
      </c>
      <c r="K18" s="7" t="str">
        <f aca="false">INDEX('Test Scenarios'!$F$2:$F$30,MATCH(I18,'Test Scenarios'!$A$2:$A$30,0))</f>
        <v>Negative</v>
      </c>
      <c r="L18" s="7" t="str">
        <f aca="false">INDEX('Test Scenarios'!$G$2:$G$30,MATCH(I18,'Test Scenarios'!$A$2:$A$30,0))</f>
        <v>Medium</v>
      </c>
      <c r="M18" s="7" t="str">
        <f aca="false">INDEX('Test Scenarios'!$K$2:$K$30,MATCH(I18,'Test Scenarios'!$A$2:$A$30,0))</f>
        <v>Not run</v>
      </c>
      <c r="N18" s="7" t="s">
        <v>136</v>
      </c>
    </row>
    <row r="19" customFormat="false" ht="15" hidden="false" customHeight="false" outlineLevel="0" collapsed="false">
      <c r="A19" s="8" t="s">
        <v>137</v>
      </c>
      <c r="B19" s="8" t="s">
        <v>94</v>
      </c>
      <c r="C19" s="8" t="s">
        <v>95</v>
      </c>
      <c r="D19" s="8" t="s">
        <v>111</v>
      </c>
      <c r="E19" s="8" t="s">
        <v>138</v>
      </c>
      <c r="F19" s="8" t="s">
        <v>72</v>
      </c>
      <c r="G19" s="8" t="s">
        <v>98</v>
      </c>
      <c r="H19" s="8" t="str">
        <f aca="false">INDEX('Acceptance Criteria'!$G$2:$G$24,MATCH(E19,'Acceptance Criteria'!$A$2:$A$24,0))</f>
        <v>Wireframed</v>
      </c>
      <c r="I19" s="8" t="s">
        <v>139</v>
      </c>
      <c r="J19" s="8" t="str">
        <f aca="false">INDEX('Test Scenarios'!$E$2:$E$30,MATCH(I19,'Test Scenarios'!$A$2:$A$30,0))</f>
        <v>Edit is unavailable after dispatch</v>
      </c>
      <c r="K19" s="8" t="str">
        <f aca="false">INDEX('Test Scenarios'!$F$2:$F$30,MATCH(I19,'Test Scenarios'!$A$2:$A$30,0))</f>
        <v>Negative</v>
      </c>
      <c r="L19" s="8" t="str">
        <f aca="false">INDEX('Test Scenarios'!$G$2:$G$30,MATCH(I19,'Test Scenarios'!$A$2:$A$30,0))</f>
        <v>Medium</v>
      </c>
      <c r="M19" s="8" t="str">
        <f aca="false">INDEX('Test Scenarios'!$K$2:$K$30,MATCH(I19,'Test Scenarios'!$A$2:$A$30,0))</f>
        <v>Not run</v>
      </c>
      <c r="N19" s="8" t="s">
        <v>140</v>
      </c>
    </row>
    <row r="20" customFormat="false" ht="15" hidden="false" customHeight="false" outlineLevel="0" collapsed="false">
      <c r="A20" s="7" t="s">
        <v>141</v>
      </c>
      <c r="B20" s="7" t="s">
        <v>80</v>
      </c>
      <c r="C20" s="7" t="s">
        <v>142</v>
      </c>
      <c r="D20" s="7" t="s">
        <v>143</v>
      </c>
      <c r="E20" s="7" t="s">
        <v>144</v>
      </c>
      <c r="F20" s="7" t="s">
        <v>55</v>
      </c>
      <c r="G20" s="7" t="s">
        <v>145</v>
      </c>
      <c r="H20" s="7" t="str">
        <f aca="false">INDEX('Acceptance Criteria'!$G$2:$G$24,MATCH(E20,'Acceptance Criteria'!$A$2:$A$24,0))</f>
        <v>Partial</v>
      </c>
      <c r="I20" s="7" t="s">
        <v>146</v>
      </c>
      <c r="J20" s="7" t="str">
        <f aca="false">INDEX('Test Scenarios'!$E$2:$E$30,MATCH(I20,'Test Scenarios'!$A$2:$A$30,0))</f>
        <v>24-hour reminder is sent</v>
      </c>
      <c r="K20" s="7" t="str">
        <f aca="false">INDEX('Test Scenarios'!$F$2:$F$30,MATCH(I20,'Test Scenarios'!$A$2:$A$30,0))</f>
        <v>Positive</v>
      </c>
      <c r="L20" s="7" t="str">
        <f aca="false">INDEX('Test Scenarios'!$G$2:$G$30,MATCH(I20,'Test Scenarios'!$A$2:$A$30,0))</f>
        <v>Medium</v>
      </c>
      <c r="M20" s="7" t="str">
        <f aca="false">INDEX('Test Scenarios'!$K$2:$K$30,MATCH(I20,'Test Scenarios'!$A$2:$A$30,0))</f>
        <v>Not run</v>
      </c>
      <c r="N20" s="7" t="s">
        <v>147</v>
      </c>
    </row>
    <row r="21" customFormat="false" ht="15" hidden="false" customHeight="false" outlineLevel="0" collapsed="false">
      <c r="A21" s="8" t="s">
        <v>148</v>
      </c>
      <c r="B21" s="8" t="s">
        <v>80</v>
      </c>
      <c r="C21" s="8" t="s">
        <v>142</v>
      </c>
      <c r="D21" s="8" t="s">
        <v>143</v>
      </c>
      <c r="E21" s="8" t="s">
        <v>149</v>
      </c>
      <c r="F21" s="8" t="s">
        <v>55</v>
      </c>
      <c r="G21" s="8" t="s">
        <v>150</v>
      </c>
      <c r="H21" s="8" t="str">
        <f aca="false">INDEX('Acceptance Criteria'!$G$2:$G$24,MATCH(E21,'Acceptance Criteria'!$A$2:$A$24,0))</f>
        <v>Gap</v>
      </c>
      <c r="I21" s="8" t="s">
        <v>151</v>
      </c>
      <c r="J21" s="8" t="str">
        <f aca="false">INDEX('Test Scenarios'!$E$2:$E$30,MATCH(I21,'Test Scenarios'!$A$2:$A$30,0))</f>
        <v>1-hour and 10-minute reminders show driver status</v>
      </c>
      <c r="K21" s="8" t="str">
        <f aca="false">INDEX('Test Scenarios'!$F$2:$F$30,MATCH(I21,'Test Scenarios'!$A$2:$A$30,0))</f>
        <v>Positive</v>
      </c>
      <c r="L21" s="8" t="str">
        <f aca="false">INDEX('Test Scenarios'!$G$2:$G$30,MATCH(I21,'Test Scenarios'!$A$2:$A$30,0))</f>
        <v>Medium</v>
      </c>
      <c r="M21" s="8" t="str">
        <f aca="false">INDEX('Test Scenarios'!$K$2:$K$30,MATCH(I21,'Test Scenarios'!$A$2:$A$30,0))</f>
        <v>Not run</v>
      </c>
      <c r="N21" s="8" t="s">
        <v>152</v>
      </c>
    </row>
    <row r="22" customFormat="false" ht="15" hidden="false" customHeight="false" outlineLevel="0" collapsed="false">
      <c r="A22" s="7" t="s">
        <v>153</v>
      </c>
      <c r="B22" s="7" t="s">
        <v>80</v>
      </c>
      <c r="C22" s="7" t="s">
        <v>142</v>
      </c>
      <c r="D22" s="7" t="s">
        <v>143</v>
      </c>
      <c r="E22" s="7" t="s">
        <v>154</v>
      </c>
      <c r="F22" s="7" t="s">
        <v>55</v>
      </c>
      <c r="G22" s="7" t="s">
        <v>150</v>
      </c>
      <c r="H22" s="7" t="str">
        <f aca="false">INDEX('Acceptance Criteria'!$G$2:$G$24,MATCH(E22,'Acceptance Criteria'!$A$2:$A$24,0))</f>
        <v>Gap</v>
      </c>
      <c r="I22" s="7" t="s">
        <v>155</v>
      </c>
      <c r="J22" s="7" t="str">
        <f aca="false">INDEX('Test Scenarios'!$E$2:$E$30,MATCH(I22,'Test Scenarios'!$A$2:$A$30,0))</f>
        <v>Notifications off still show in-app reminder</v>
      </c>
      <c r="K22" s="7" t="str">
        <f aca="false">INDEX('Test Scenarios'!$F$2:$F$30,MATCH(I22,'Test Scenarios'!$A$2:$A$30,0))</f>
        <v>Alternate</v>
      </c>
      <c r="L22" s="7" t="str">
        <f aca="false">INDEX('Test Scenarios'!$G$2:$G$30,MATCH(I22,'Test Scenarios'!$A$2:$A$30,0))</f>
        <v>Medium</v>
      </c>
      <c r="M22" s="7" t="str">
        <f aca="false">INDEX('Test Scenarios'!$K$2:$K$30,MATCH(I22,'Test Scenarios'!$A$2:$A$30,0))</f>
        <v>Not run</v>
      </c>
      <c r="N22" s="7" t="s">
        <v>156</v>
      </c>
    </row>
    <row r="23" customFormat="false" ht="23.85" hidden="false" customHeight="false" outlineLevel="0" collapsed="false">
      <c r="A23" s="8" t="s">
        <v>157</v>
      </c>
      <c r="B23" s="8" t="s">
        <v>80</v>
      </c>
      <c r="C23" s="8" t="s">
        <v>142</v>
      </c>
      <c r="D23" s="8" t="s">
        <v>143</v>
      </c>
      <c r="E23" s="8" t="s">
        <v>158</v>
      </c>
      <c r="F23" s="8" t="s">
        <v>72</v>
      </c>
      <c r="G23" s="8" t="s">
        <v>150</v>
      </c>
      <c r="H23" s="8" t="str">
        <f aca="false">INDEX('Acceptance Criteria'!$G$2:$G$24,MATCH(E23,'Acceptance Criteria'!$A$2:$A$24,0))</f>
        <v>Gap</v>
      </c>
      <c r="I23" s="8" t="s">
        <v>159</v>
      </c>
      <c r="J23" s="8" t="str">
        <f aca="false">INDEX('Test Scenarios'!$E$2:$E$30,MATCH(I23,'Test Scenarios'!$A$2:$A$30,0))</f>
        <v>No 24-hour reminder when booked less than 24 hours ahead</v>
      </c>
      <c r="K23" s="8" t="str">
        <f aca="false">INDEX('Test Scenarios'!$F$2:$F$30,MATCH(I23,'Test Scenarios'!$A$2:$A$30,0))</f>
        <v>Boundary</v>
      </c>
      <c r="L23" s="8" t="str">
        <f aca="false">INDEX('Test Scenarios'!$G$2:$G$30,MATCH(I23,'Test Scenarios'!$A$2:$A$30,0))</f>
        <v>Low</v>
      </c>
      <c r="M23" s="8" t="str">
        <f aca="false">INDEX('Test Scenarios'!$K$2:$K$30,MATCH(I23,'Test Scenarios'!$A$2:$A$30,0))</f>
        <v>Not run</v>
      </c>
      <c r="N23" s="8" t="s">
        <v>160</v>
      </c>
    </row>
    <row r="24" customFormat="false" ht="15" hidden="false" customHeight="false" outlineLevel="0" collapsed="false">
      <c r="A24" s="7" t="s">
        <v>161</v>
      </c>
      <c r="B24" s="7" t="s">
        <v>80</v>
      </c>
      <c r="C24" s="7" t="s">
        <v>142</v>
      </c>
      <c r="D24" s="7" t="s">
        <v>143</v>
      </c>
      <c r="E24" s="7" t="s">
        <v>162</v>
      </c>
      <c r="F24" s="7" t="s">
        <v>72</v>
      </c>
      <c r="G24" s="7" t="s">
        <v>150</v>
      </c>
      <c r="H24" s="7" t="str">
        <f aca="false">INDEX('Acceptance Criteria'!$G$2:$G$24,MATCH(E24,'Acceptance Criteria'!$A$2:$A$24,0))</f>
        <v>Gap</v>
      </c>
      <c r="I24" s="7" t="s">
        <v>163</v>
      </c>
      <c r="J24" s="7" t="str">
        <f aca="false">INDEX('Test Scenarios'!$E$2:$E$30,MATCH(I24,'Test Scenarios'!$A$2:$A$30,0))</f>
        <v>Cancelling a ride stops its reminders</v>
      </c>
      <c r="K24" s="7" t="str">
        <f aca="false">INDEX('Test Scenarios'!$F$2:$F$30,MATCH(I24,'Test Scenarios'!$A$2:$A$30,0))</f>
        <v>Alternate</v>
      </c>
      <c r="L24" s="7" t="str">
        <f aca="false">INDEX('Test Scenarios'!$G$2:$G$30,MATCH(I24,'Test Scenarios'!$A$2:$A$30,0))</f>
        <v>Low</v>
      </c>
      <c r="M24" s="7" t="str">
        <f aca="false">INDEX('Test Scenarios'!$K$2:$K$30,MATCH(I24,'Test Scenarios'!$A$2:$A$30,0))</f>
        <v>Not run</v>
      </c>
      <c r="N24" s="7" t="s">
        <v>164</v>
      </c>
    </row>
    <row r="25" customFormat="false" ht="23.85" hidden="false" customHeight="false" outlineLevel="0" collapsed="false">
      <c r="A25" s="8" t="s">
        <v>165</v>
      </c>
      <c r="B25" s="8" t="s">
        <v>166</v>
      </c>
      <c r="C25" s="8" t="s">
        <v>167</v>
      </c>
      <c r="D25" s="8" t="s">
        <v>168</v>
      </c>
      <c r="E25" s="8" t="s">
        <v>169</v>
      </c>
      <c r="F25" s="8" t="s">
        <v>55</v>
      </c>
      <c r="G25" s="8" t="s">
        <v>170</v>
      </c>
      <c r="H25" s="8" t="str">
        <f aca="false">INDEX('Acceptance Criteria'!$G$2:$G$24,MATCH(E25,'Acceptance Criteria'!$A$2:$A$24,0))</f>
        <v>Gap</v>
      </c>
      <c r="I25" s="8" t="s">
        <v>171</v>
      </c>
      <c r="J25" s="8" t="str">
        <f aca="false">INDEX('Test Scenarios'!$E$2:$E$30,MATCH(I25,'Test Scenarios'!$A$2:$A$30,0))</f>
        <v>Driver receives request when the assignment window opens</v>
      </c>
      <c r="K25" s="8" t="str">
        <f aca="false">INDEX('Test Scenarios'!$F$2:$F$30,MATCH(I25,'Test Scenarios'!$A$2:$A$30,0))</f>
        <v>Positive</v>
      </c>
      <c r="L25" s="8" t="str">
        <f aca="false">INDEX('Test Scenarios'!$G$2:$G$30,MATCH(I25,'Test Scenarios'!$A$2:$A$30,0))</f>
        <v>High</v>
      </c>
      <c r="M25" s="8" t="str">
        <f aca="false">INDEX('Test Scenarios'!$K$2:$K$30,MATCH(I25,'Test Scenarios'!$A$2:$A$30,0))</f>
        <v>Not run</v>
      </c>
      <c r="N25" s="8" t="s">
        <v>172</v>
      </c>
    </row>
    <row r="26" customFormat="false" ht="15" hidden="false" customHeight="false" outlineLevel="0" collapsed="false">
      <c r="A26" s="7" t="s">
        <v>173</v>
      </c>
      <c r="B26" s="7" t="s">
        <v>166</v>
      </c>
      <c r="C26" s="7" t="s">
        <v>167</v>
      </c>
      <c r="D26" s="7" t="s">
        <v>168</v>
      </c>
      <c r="E26" s="7" t="s">
        <v>174</v>
      </c>
      <c r="F26" s="7" t="s">
        <v>55</v>
      </c>
      <c r="G26" s="7" t="s">
        <v>170</v>
      </c>
      <c r="H26" s="7" t="str">
        <f aca="false">INDEX('Acceptance Criteria'!$G$2:$G$24,MATCH(E26,'Acceptance Criteria'!$A$2:$A$24,0))</f>
        <v>Gap</v>
      </c>
      <c r="I26" s="7" t="s">
        <v>175</v>
      </c>
      <c r="J26" s="7" t="str">
        <f aca="false">INDEX('Test Scenarios'!$E$2:$E$30,MATCH(I26,'Test Scenarios'!$A$2:$A$30,0))</f>
        <v>Accepting locks the trip to the driver</v>
      </c>
      <c r="K26" s="7" t="str">
        <f aca="false">INDEX('Test Scenarios'!$F$2:$F$30,MATCH(I26,'Test Scenarios'!$A$2:$A$30,0))</f>
        <v>Positive</v>
      </c>
      <c r="L26" s="7" t="str">
        <f aca="false">INDEX('Test Scenarios'!$G$2:$G$30,MATCH(I26,'Test Scenarios'!$A$2:$A$30,0))</f>
        <v>High</v>
      </c>
      <c r="M26" s="7" t="str">
        <f aca="false">INDEX('Test Scenarios'!$K$2:$K$30,MATCH(I26,'Test Scenarios'!$A$2:$A$30,0))</f>
        <v>Not run</v>
      </c>
      <c r="N26" s="7" t="s">
        <v>176</v>
      </c>
    </row>
    <row r="27" customFormat="false" ht="15" hidden="false" customHeight="false" outlineLevel="0" collapsed="false">
      <c r="A27" s="8" t="s">
        <v>177</v>
      </c>
      <c r="B27" s="8" t="s">
        <v>166</v>
      </c>
      <c r="C27" s="8" t="s">
        <v>167</v>
      </c>
      <c r="D27" s="8" t="s">
        <v>168</v>
      </c>
      <c r="E27" s="8" t="s">
        <v>178</v>
      </c>
      <c r="F27" s="8" t="s">
        <v>55</v>
      </c>
      <c r="G27" s="8" t="s">
        <v>170</v>
      </c>
      <c r="H27" s="8" t="str">
        <f aca="false">INDEX('Acceptance Criteria'!$G$2:$G$24,MATCH(E27,'Acceptance Criteria'!$A$2:$A$24,0))</f>
        <v>Gap</v>
      </c>
      <c r="I27" s="8" t="s">
        <v>179</v>
      </c>
      <c r="J27" s="8" t="str">
        <f aca="false">INDEX('Test Scenarios'!$E$2:$E$30,MATCH(I27,'Test Scenarios'!$A$2:$A$30,0))</f>
        <v>Declined request is reassigned</v>
      </c>
      <c r="K27" s="8" t="str">
        <f aca="false">INDEX('Test Scenarios'!$F$2:$F$30,MATCH(I27,'Test Scenarios'!$A$2:$A$30,0))</f>
        <v>Alternate</v>
      </c>
      <c r="L27" s="8" t="str">
        <f aca="false">INDEX('Test Scenarios'!$G$2:$G$30,MATCH(I27,'Test Scenarios'!$A$2:$A$30,0))</f>
        <v>High</v>
      </c>
      <c r="M27" s="8" t="str">
        <f aca="false">INDEX('Test Scenarios'!$K$2:$K$30,MATCH(I27,'Test Scenarios'!$A$2:$A$30,0))</f>
        <v>Not run</v>
      </c>
      <c r="N27" s="8" t="s">
        <v>180</v>
      </c>
    </row>
    <row r="28" customFormat="false" ht="15" hidden="false" customHeight="false" outlineLevel="0" collapsed="false">
      <c r="A28" s="7" t="s">
        <v>181</v>
      </c>
      <c r="B28" s="7" t="s">
        <v>166</v>
      </c>
      <c r="C28" s="7" t="s">
        <v>167</v>
      </c>
      <c r="D28" s="7" t="s">
        <v>168</v>
      </c>
      <c r="E28" s="7" t="s">
        <v>178</v>
      </c>
      <c r="F28" s="7" t="s">
        <v>55</v>
      </c>
      <c r="G28" s="7" t="s">
        <v>170</v>
      </c>
      <c r="H28" s="7" t="str">
        <f aca="false">INDEX('Acceptance Criteria'!$G$2:$G$24,MATCH(E28,'Acceptance Criteria'!$A$2:$A$24,0))</f>
        <v>Gap</v>
      </c>
      <c r="I28" s="7" t="s">
        <v>182</v>
      </c>
      <c r="J28" s="7" t="str">
        <f aca="false">INDEX('Test Scenarios'!$E$2:$E$30,MATCH(I28,'Test Scenarios'!$A$2:$A$30,0))</f>
        <v>Unanswered request times out and is reassigned</v>
      </c>
      <c r="K28" s="7" t="str">
        <f aca="false">INDEX('Test Scenarios'!$F$2:$F$30,MATCH(I28,'Test Scenarios'!$A$2:$A$30,0))</f>
        <v>Alternate</v>
      </c>
      <c r="L28" s="7" t="str">
        <f aca="false">INDEX('Test Scenarios'!$G$2:$G$30,MATCH(I28,'Test Scenarios'!$A$2:$A$30,0))</f>
        <v>High</v>
      </c>
      <c r="M28" s="7" t="str">
        <f aca="false">INDEX('Test Scenarios'!$K$2:$K$30,MATCH(I28,'Test Scenarios'!$A$2:$A$30,0))</f>
        <v>Not run</v>
      </c>
      <c r="N28" s="7" t="s">
        <v>183</v>
      </c>
    </row>
    <row r="29" customFormat="false" ht="15" hidden="false" customHeight="false" outlineLevel="0" collapsed="false">
      <c r="A29" s="8" t="s">
        <v>184</v>
      </c>
      <c r="B29" s="8" t="s">
        <v>166</v>
      </c>
      <c r="C29" s="8" t="s">
        <v>167</v>
      </c>
      <c r="D29" s="8" t="s">
        <v>168</v>
      </c>
      <c r="E29" s="8" t="s">
        <v>185</v>
      </c>
      <c r="F29" s="8" t="s">
        <v>72</v>
      </c>
      <c r="G29" s="8" t="s">
        <v>186</v>
      </c>
      <c r="H29" s="8" t="str">
        <f aca="false">INDEX('Acceptance Criteria'!$G$2:$G$24,MATCH(E29,'Acceptance Criteria'!$A$2:$A$24,0))</f>
        <v>Gap</v>
      </c>
      <c r="I29" s="8" t="s">
        <v>187</v>
      </c>
      <c r="J29" s="8" t="str">
        <f aca="false">INDEX('Test Scenarios'!$E$2:$E$30,MATCH(I29,'Test Scenarios'!$A$2:$A$30,0))</f>
        <v>No driver accepts before the window closes</v>
      </c>
      <c r="K29" s="8" t="str">
        <f aca="false">INDEX('Test Scenarios'!$F$2:$F$30,MATCH(I29,'Test Scenarios'!$A$2:$A$30,0))</f>
        <v>Negative</v>
      </c>
      <c r="L29" s="8" t="str">
        <f aca="false">INDEX('Test Scenarios'!$G$2:$G$30,MATCH(I29,'Test Scenarios'!$A$2:$A$30,0))</f>
        <v>High</v>
      </c>
      <c r="M29" s="8" t="str">
        <f aca="false">INDEX('Test Scenarios'!$K$2:$K$30,MATCH(I29,'Test Scenarios'!$A$2:$A$30,0))</f>
        <v>Not run</v>
      </c>
      <c r="N29" s="8" t="s">
        <v>188</v>
      </c>
    </row>
    <row r="30" customFormat="false" ht="15" hidden="false" customHeight="false" outlineLevel="0" collapsed="false">
      <c r="A30" s="7" t="s">
        <v>189</v>
      </c>
      <c r="B30" s="7" t="s">
        <v>190</v>
      </c>
      <c r="C30" s="7" t="s">
        <v>191</v>
      </c>
      <c r="D30" s="7" t="s">
        <v>192</v>
      </c>
      <c r="E30" s="7" t="s">
        <v>193</v>
      </c>
      <c r="F30" s="7" t="s">
        <v>55</v>
      </c>
      <c r="G30" s="7" t="s">
        <v>194</v>
      </c>
      <c r="H30" s="7" t="str">
        <f aca="false">INDEX('Acceptance Criteria'!$G$2:$G$24,MATCH(E30,'Acceptance Criteria'!$A$2:$A$24,0))</f>
        <v>N/A (back-end)</v>
      </c>
      <c r="I30" s="7" t="s">
        <v>195</v>
      </c>
      <c r="J30" s="7" t="str">
        <f aca="false">INDEX('Test Scenarios'!$E$2:$E$30,MATCH(I30,'Test Scenarios'!$A$2:$A$30,0))</f>
        <v>Lifecycle events are logged</v>
      </c>
      <c r="K30" s="7" t="str">
        <f aca="false">INDEX('Test Scenarios'!$F$2:$F$30,MATCH(I30,'Test Scenarios'!$A$2:$A$30,0))</f>
        <v>Positive</v>
      </c>
      <c r="L30" s="7" t="str">
        <f aca="false">INDEX('Test Scenarios'!$G$2:$G$30,MATCH(I30,'Test Scenarios'!$A$2:$A$30,0))</f>
        <v>Medium</v>
      </c>
      <c r="M30" s="7" t="str">
        <f aca="false">INDEX('Test Scenarios'!$K$2:$K$30,MATCH(I30,'Test Scenarios'!$A$2:$A$30,0))</f>
        <v>Not run</v>
      </c>
      <c r="N30" s="7" t="s">
        <v>196</v>
      </c>
    </row>
  </sheetData>
  <autoFilter ref="A1:N30"/>
  <conditionalFormatting sqref="H2:H30">
    <cfRule type="cellIs" priority="2" operator="equal" aboveAverage="0" equalAverage="0" bottom="0" percent="0" rank="0" text="" dxfId="8">
      <formula>"Wireframed"</formula>
    </cfRule>
    <cfRule type="cellIs" priority="3" operator="equal" aboveAverage="0" equalAverage="0" bottom="0" percent="0" rank="0" text="" dxfId="9">
      <formula>"Gap"</formula>
    </cfRule>
    <cfRule type="cellIs" priority="4" operator="equal" aboveAverage="0" equalAverage="0" bottom="0" percent="0" rank="0" text="" dxfId="10">
      <formula>"Partial"</formula>
    </cfRule>
  </conditionalFormatting>
  <conditionalFormatting sqref="M2:M30">
    <cfRule type="cellIs" priority="5" operator="equal" aboveAverage="0" equalAverage="0" bottom="0" percent="0" rank="0" text="" dxfId="8">
      <formula>"Pass"</formula>
    </cfRule>
    <cfRule type="cellIs" priority="6" operator="equal" aboveAverage="0" equalAverage="0" bottom="0" percent="0" rank="0" text="" dxfId="9">
      <formula>"Fail"</formula>
    </cfRule>
    <cfRule type="cellIs" priority="7" operator="equal" aboveAverage="0" equalAverage="0" bottom="0" percent="0" rank="0" text="" dxfId="10">
      <formula>"Blocked"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9" t="s">
        <v>197</v>
      </c>
    </row>
    <row r="2" customFormat="false" ht="15" hidden="false" customHeight="false" outlineLevel="0" collapsed="false">
      <c r="A2" s="10" t="s">
        <v>198</v>
      </c>
    </row>
    <row r="4" customFormat="false" ht="15" hidden="false" customHeight="false" outlineLevel="0" collapsed="false">
      <c r="A4" s="11" t="s">
        <v>199</v>
      </c>
    </row>
    <row r="5" customFormat="false" ht="31.5" hidden="false" customHeight="true" outlineLevel="0" collapsed="false">
      <c r="A5" s="12" t="s">
        <v>200</v>
      </c>
      <c r="B5" s="12" t="s">
        <v>201</v>
      </c>
    </row>
    <row r="6" customFormat="false" ht="15" hidden="false" customHeight="false" outlineLevel="0" collapsed="false">
      <c r="A6" s="13" t="s">
        <v>202</v>
      </c>
      <c r="B6" s="13" t="n">
        <f aca="false">COUNTA('Business Goals'!A2:A6)</f>
        <v>5</v>
      </c>
    </row>
    <row r="7" customFormat="false" ht="15" hidden="false" customHeight="false" outlineLevel="0" collapsed="false">
      <c r="A7" s="13" t="s">
        <v>203</v>
      </c>
      <c r="B7" s="13" t="n">
        <f aca="false">COUNTA(Requirements!A2:A8)</f>
        <v>7</v>
      </c>
    </row>
    <row r="8" customFormat="false" ht="15" hidden="false" customHeight="false" outlineLevel="0" collapsed="false">
      <c r="A8" s="13" t="s">
        <v>204</v>
      </c>
      <c r="B8" s="13" t="n">
        <f aca="false">COUNTA('User Stories'!A2:A7)</f>
        <v>6</v>
      </c>
    </row>
    <row r="9" customFormat="false" ht="15" hidden="false" customHeight="false" outlineLevel="0" collapsed="false">
      <c r="A9" s="13" t="s">
        <v>205</v>
      </c>
      <c r="B9" s="13" t="n">
        <f aca="false">COUNTA('Acceptance Criteria'!A2:A24)</f>
        <v>23</v>
      </c>
    </row>
    <row r="10" customFormat="false" ht="15" hidden="false" customHeight="false" outlineLevel="0" collapsed="false">
      <c r="A10" s="13" t="s">
        <v>206</v>
      </c>
      <c r="B10" s="13" t="n">
        <f aca="false">COUNTA('Test Scenarios'!A2:A30)</f>
        <v>29</v>
      </c>
    </row>
    <row r="11" customFormat="false" ht="15" hidden="false" customHeight="false" outlineLevel="0" collapsed="false">
      <c r="A11" s="13" t="s">
        <v>207</v>
      </c>
      <c r="B11" s="13" t="n">
        <f aca="false">COUNTIF(Screens!D2:D12,"Wireframed")</f>
        <v>5</v>
      </c>
    </row>
    <row r="12" customFormat="false" ht="15" hidden="false" customHeight="false" outlineLevel="0" collapsed="false">
      <c r="A12" s="13" t="s">
        <v>208</v>
      </c>
      <c r="B12" s="13" t="n">
        <f aca="false">COUNTIF(Screens!D2:D12,"Not wireframed")</f>
        <v>6</v>
      </c>
    </row>
    <row r="13" customFormat="false" ht="15" hidden="false" customHeight="false" outlineLevel="0" collapsed="false">
      <c r="A13" s="13" t="s">
        <v>209</v>
      </c>
      <c r="B13" s="13" t="n">
        <f aca="false">COUNTIF('Acceptance Criteria'!I2:I24,"NOT COVERED")</f>
        <v>0</v>
      </c>
    </row>
    <row r="15" customFormat="false" ht="15" hidden="false" customHeight="false" outlineLevel="0" collapsed="false">
      <c r="A15" s="11" t="s">
        <v>210</v>
      </c>
    </row>
    <row r="16" customFormat="false" ht="31.5" hidden="false" customHeight="true" outlineLevel="0" collapsed="false">
      <c r="A16" s="12" t="s">
        <v>39</v>
      </c>
      <c r="B16" s="12" t="s">
        <v>211</v>
      </c>
      <c r="C16" s="12" t="s">
        <v>212</v>
      </c>
      <c r="D16" s="12" t="s">
        <v>213</v>
      </c>
      <c r="E16" s="12" t="s">
        <v>214</v>
      </c>
      <c r="F16" s="12" t="s">
        <v>215</v>
      </c>
      <c r="G16" s="12" t="s">
        <v>216</v>
      </c>
      <c r="H16" s="12" t="s">
        <v>217</v>
      </c>
    </row>
    <row r="17" customFormat="false" ht="15" hidden="false" customHeight="false" outlineLevel="0" collapsed="false">
      <c r="A17" s="13" t="s">
        <v>53</v>
      </c>
      <c r="B17" s="13" t="str">
        <f aca="false">'User Stories'!B2</f>
        <v>Schedule a Future Ride</v>
      </c>
      <c r="C17" s="13" t="n">
        <f aca="false">COUNTIF('Acceptance Criteria'!$B$2:$B$24,A17)</f>
        <v>5</v>
      </c>
      <c r="D17" s="13" t="n">
        <f aca="false">COUNTIFS('Acceptance Criteria'!$B$2:$B$24,A17,'Acceptance Criteria'!$I$2:$I$24,"Covered")</f>
        <v>5</v>
      </c>
      <c r="E17" s="14" t="n">
        <f aca="false">IF(C17=0,0,D17/C17)</f>
        <v>1</v>
      </c>
      <c r="F17" s="13" t="n">
        <f aca="false">COUNTIF(RTM!$D$2:$D$30,A17)</f>
        <v>8</v>
      </c>
      <c r="G17" s="13" t="n">
        <f aca="false">COUNTIFS('Acceptance Criteria'!$B$2:$B$24,A17,'Acceptance Criteria'!$G$2:$G$24,"Wireframed")</f>
        <v>3</v>
      </c>
      <c r="H17" s="13" t="n">
        <f aca="false">COUNTIFS('Acceptance Criteria'!$B$2:$B$24,A17,'Acceptance Criteria'!$G$2:$G$24,"Gap")+COUNTIFS('Acceptance Criteria'!$B$2:$B$24,A17,'Acceptance Criteria'!$G$2:$G$24,"Partial")</f>
        <v>2</v>
      </c>
    </row>
    <row r="18" customFormat="false" ht="15" hidden="false" customHeight="false" outlineLevel="0" collapsed="false">
      <c r="A18" s="13" t="s">
        <v>96</v>
      </c>
      <c r="B18" s="13" t="str">
        <f aca="false">'User Stories'!B3</f>
        <v>View and Manage Scheduled Rides</v>
      </c>
      <c r="C18" s="13" t="n">
        <f aca="false">COUNTIF('Acceptance Criteria'!$B$2:$B$24,A18)</f>
        <v>3</v>
      </c>
      <c r="D18" s="13" t="n">
        <f aca="false">COUNTIFS('Acceptance Criteria'!$B$2:$B$24,A18,'Acceptance Criteria'!$I$2:$I$24,"Covered")</f>
        <v>3</v>
      </c>
      <c r="E18" s="14" t="n">
        <f aca="false">IF(C18=0,0,D18/C18)</f>
        <v>1</v>
      </c>
      <c r="F18" s="13" t="n">
        <f aca="false">COUNTIF(RTM!$D$2:$D$30,A18)</f>
        <v>3</v>
      </c>
      <c r="G18" s="13" t="n">
        <f aca="false">COUNTIFS('Acceptance Criteria'!$B$2:$B$24,A18,'Acceptance Criteria'!$G$2:$G$24,"Wireframed")</f>
        <v>2</v>
      </c>
      <c r="H18" s="13" t="n">
        <f aca="false">COUNTIFS('Acceptance Criteria'!$B$2:$B$24,A18,'Acceptance Criteria'!$G$2:$G$24,"Gap")+COUNTIFS('Acceptance Criteria'!$B$2:$B$24,A18,'Acceptance Criteria'!$G$2:$G$24,"Partial")</f>
        <v>1</v>
      </c>
    </row>
    <row r="19" customFormat="false" ht="15" hidden="false" customHeight="false" outlineLevel="0" collapsed="false">
      <c r="A19" s="13" t="s">
        <v>111</v>
      </c>
      <c r="B19" s="13" t="str">
        <f aca="false">'User Stories'!B4</f>
        <v>Modify or Cancel a Scheduled Ride</v>
      </c>
      <c r="C19" s="13" t="n">
        <f aca="false">COUNTIF('Acceptance Criteria'!$B$2:$B$24,A19)</f>
        <v>5</v>
      </c>
      <c r="D19" s="13" t="n">
        <f aca="false">COUNTIFS('Acceptance Criteria'!$B$2:$B$24,A19,'Acceptance Criteria'!$I$2:$I$24,"Covered")</f>
        <v>5</v>
      </c>
      <c r="E19" s="14" t="n">
        <f aca="false">IF(C19=0,0,D19/C19)</f>
        <v>1</v>
      </c>
      <c r="F19" s="13" t="n">
        <f aca="false">COUNTIF(RTM!$D$2:$D$30,A19)</f>
        <v>7</v>
      </c>
      <c r="G19" s="13" t="n">
        <f aca="false">COUNTIFS('Acceptance Criteria'!$B$2:$B$24,A19,'Acceptance Criteria'!$G$2:$G$24,"Wireframed")</f>
        <v>4</v>
      </c>
      <c r="H19" s="13" t="n">
        <f aca="false">COUNTIFS('Acceptance Criteria'!$B$2:$B$24,A19,'Acceptance Criteria'!$G$2:$G$24,"Gap")+COUNTIFS('Acceptance Criteria'!$B$2:$B$24,A19,'Acceptance Criteria'!$G$2:$G$24,"Partial")</f>
        <v>1</v>
      </c>
    </row>
    <row r="20" customFormat="false" ht="15" hidden="false" customHeight="false" outlineLevel="0" collapsed="false">
      <c r="A20" s="13" t="s">
        <v>143</v>
      </c>
      <c r="B20" s="13" t="str">
        <f aca="false">'User Stories'!B5</f>
        <v>Receive Pickup Reminders</v>
      </c>
      <c r="C20" s="13" t="n">
        <f aca="false">COUNTIF('Acceptance Criteria'!$B$2:$B$24,A20)</f>
        <v>5</v>
      </c>
      <c r="D20" s="13" t="n">
        <f aca="false">COUNTIFS('Acceptance Criteria'!$B$2:$B$24,A20,'Acceptance Criteria'!$I$2:$I$24,"Covered")</f>
        <v>5</v>
      </c>
      <c r="E20" s="14" t="n">
        <f aca="false">IF(C20=0,0,D20/C20)</f>
        <v>1</v>
      </c>
      <c r="F20" s="13" t="n">
        <f aca="false">COUNTIF(RTM!$D$2:$D$30,A20)</f>
        <v>5</v>
      </c>
      <c r="G20" s="13" t="n">
        <f aca="false">COUNTIFS('Acceptance Criteria'!$B$2:$B$24,A20,'Acceptance Criteria'!$G$2:$G$24,"Wireframed")</f>
        <v>0</v>
      </c>
      <c r="H20" s="13" t="n">
        <f aca="false">COUNTIFS('Acceptance Criteria'!$B$2:$B$24,A20,'Acceptance Criteria'!$G$2:$G$24,"Gap")+COUNTIFS('Acceptance Criteria'!$B$2:$B$24,A20,'Acceptance Criteria'!$G$2:$G$24,"Partial")</f>
        <v>5</v>
      </c>
    </row>
    <row r="21" customFormat="false" ht="15" hidden="false" customHeight="false" outlineLevel="0" collapsed="false">
      <c r="A21" s="13" t="s">
        <v>168</v>
      </c>
      <c r="B21" s="13" t="str">
        <f aca="false">'User Stories'!B6</f>
        <v>Driver Receives and Accepts Scheduled Trip</v>
      </c>
      <c r="C21" s="13" t="n">
        <f aca="false">COUNTIF('Acceptance Criteria'!$B$2:$B$24,A21)</f>
        <v>4</v>
      </c>
      <c r="D21" s="13" t="n">
        <f aca="false">COUNTIFS('Acceptance Criteria'!$B$2:$B$24,A21,'Acceptance Criteria'!$I$2:$I$24,"Covered")</f>
        <v>4</v>
      </c>
      <c r="E21" s="14" t="n">
        <f aca="false">IF(C21=0,0,D21/C21)</f>
        <v>1</v>
      </c>
      <c r="F21" s="13" t="n">
        <f aca="false">COUNTIF(RTM!$D$2:$D$30,A21)</f>
        <v>5</v>
      </c>
      <c r="G21" s="13" t="n">
        <f aca="false">COUNTIFS('Acceptance Criteria'!$B$2:$B$24,A21,'Acceptance Criteria'!$G$2:$G$24,"Wireframed")</f>
        <v>0</v>
      </c>
      <c r="H21" s="13" t="n">
        <f aca="false">COUNTIFS('Acceptance Criteria'!$B$2:$B$24,A21,'Acceptance Criteria'!$G$2:$G$24,"Gap")+COUNTIFS('Acceptance Criteria'!$B$2:$B$24,A21,'Acceptance Criteria'!$G$2:$G$24,"Partial")</f>
        <v>4</v>
      </c>
    </row>
    <row r="22" customFormat="false" ht="15" hidden="false" customHeight="false" outlineLevel="0" collapsed="false">
      <c r="A22" s="13" t="s">
        <v>192</v>
      </c>
      <c r="B22" s="13" t="str">
        <f aca="false">'User Stories'!B7</f>
        <v>Cross-cutting: event logging</v>
      </c>
      <c r="C22" s="13" t="n">
        <f aca="false">COUNTIF('Acceptance Criteria'!$B$2:$B$24,A22)</f>
        <v>1</v>
      </c>
      <c r="D22" s="13" t="n">
        <f aca="false">COUNTIFS('Acceptance Criteria'!$B$2:$B$24,A22,'Acceptance Criteria'!$I$2:$I$24,"Covered")</f>
        <v>1</v>
      </c>
      <c r="E22" s="14" t="n">
        <f aca="false">IF(C22=0,0,D22/C22)</f>
        <v>1</v>
      </c>
      <c r="F22" s="13" t="n">
        <f aca="false">COUNTIF(RTM!$D$2:$D$30,A22)</f>
        <v>1</v>
      </c>
      <c r="G22" s="13" t="n">
        <f aca="false">COUNTIFS('Acceptance Criteria'!$B$2:$B$24,A22,'Acceptance Criteria'!$G$2:$G$24,"Wireframed")</f>
        <v>0</v>
      </c>
      <c r="H22" s="13" t="n">
        <f aca="false">COUNTIFS('Acceptance Criteria'!$B$2:$B$24,A22,'Acceptance Criteria'!$G$2:$G$24,"Gap")+COUNTIFS('Acceptance Criteria'!$B$2:$B$24,A22,'Acceptance Criteria'!$G$2:$G$24,"Partial")</f>
        <v>0</v>
      </c>
    </row>
    <row r="23" customFormat="false" ht="15" hidden="false" customHeight="false" outlineLevel="0" collapsed="false">
      <c r="A23" s="15" t="s">
        <v>218</v>
      </c>
      <c r="B23" s="15"/>
      <c r="C23" s="15" t="n">
        <f aca="false">SUM(C17:C22)</f>
        <v>23</v>
      </c>
      <c r="D23" s="15" t="n">
        <f aca="false">SUM(D17:D22)</f>
        <v>23</v>
      </c>
      <c r="E23" s="16" t="n">
        <f aca="false">IF(C23=0,0,D23/C23)</f>
        <v>1</v>
      </c>
      <c r="F23" s="15" t="n">
        <f aca="false">SUM(F17:F22)</f>
        <v>29</v>
      </c>
      <c r="G23" s="15" t="n">
        <f aca="false">SUM(G17:G22)</f>
        <v>9</v>
      </c>
      <c r="H23" s="15" t="n">
        <f aca="false">SUM(H17:H22)</f>
        <v>13</v>
      </c>
    </row>
    <row r="25" customFormat="false" ht="15" hidden="false" customHeight="false" outlineLevel="0" collapsed="false">
      <c r="A25" s="11" t="s">
        <v>219</v>
      </c>
    </row>
    <row r="26" customFormat="false" ht="31.5" hidden="false" customHeight="true" outlineLevel="0" collapsed="false">
      <c r="A26" s="12" t="s">
        <v>220</v>
      </c>
      <c r="B26" s="12" t="s">
        <v>221</v>
      </c>
      <c r="C26" s="12" t="s">
        <v>222</v>
      </c>
    </row>
    <row r="27" customFormat="false" ht="15" hidden="false" customHeight="false" outlineLevel="0" collapsed="false">
      <c r="A27" s="13" t="s">
        <v>223</v>
      </c>
      <c r="B27" s="13" t="n">
        <f aca="false">COUNTIF('Test Scenarios'!$K$2:$K$30,A27)</f>
        <v>29</v>
      </c>
      <c r="C27" s="14" t="n">
        <f aca="false">IF($B$31=0,0,B27/$B$31)</f>
        <v>1</v>
      </c>
    </row>
    <row r="28" customFormat="false" ht="15" hidden="false" customHeight="false" outlineLevel="0" collapsed="false">
      <c r="A28" s="13" t="s">
        <v>224</v>
      </c>
      <c r="B28" s="13" t="n">
        <f aca="false">COUNTIF('Test Scenarios'!$K$2:$K$30,A28)</f>
        <v>0</v>
      </c>
      <c r="C28" s="14" t="n">
        <f aca="false">IF($B$31=0,0,B28/$B$31)</f>
        <v>0</v>
      </c>
    </row>
    <row r="29" customFormat="false" ht="15" hidden="false" customHeight="false" outlineLevel="0" collapsed="false">
      <c r="A29" s="13" t="s">
        <v>225</v>
      </c>
      <c r="B29" s="13" t="n">
        <f aca="false">COUNTIF('Test Scenarios'!$K$2:$K$30,A29)</f>
        <v>0</v>
      </c>
      <c r="C29" s="14" t="n">
        <f aca="false">IF($B$31=0,0,B29/$B$31)</f>
        <v>0</v>
      </c>
    </row>
    <row r="30" customFormat="false" ht="15" hidden="false" customHeight="false" outlineLevel="0" collapsed="false">
      <c r="A30" s="13" t="s">
        <v>226</v>
      </c>
      <c r="B30" s="13" t="n">
        <f aca="false">COUNTIF('Test Scenarios'!$K$2:$K$30,A30)</f>
        <v>0</v>
      </c>
      <c r="C30" s="14" t="n">
        <f aca="false">IF($B$31=0,0,B30/$B$31)</f>
        <v>0</v>
      </c>
    </row>
    <row r="31" customFormat="false" ht="15" hidden="false" customHeight="false" outlineLevel="0" collapsed="false">
      <c r="A31" s="15" t="s">
        <v>218</v>
      </c>
      <c r="B31" s="15" t="n">
        <f aca="false">SUM(B27:B30)</f>
        <v>29</v>
      </c>
      <c r="C31" s="16" t="n">
        <f aca="false">SUM(C27:C30)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6" t="s">
        <v>227</v>
      </c>
      <c r="B1" s="6" t="s">
        <v>228</v>
      </c>
      <c r="C1" s="6" t="s">
        <v>229</v>
      </c>
      <c r="D1" s="6" t="s">
        <v>230</v>
      </c>
      <c r="E1" s="6" t="s">
        <v>231</v>
      </c>
      <c r="F1" s="6" t="s">
        <v>215</v>
      </c>
    </row>
    <row r="2" customFormat="false" ht="23.85" hidden="false" customHeight="false" outlineLevel="0" collapsed="false">
      <c r="A2" s="7" t="s">
        <v>232</v>
      </c>
      <c r="B2" s="7" t="s">
        <v>233</v>
      </c>
      <c r="C2" s="7" t="s">
        <v>234</v>
      </c>
      <c r="D2" s="7" t="s">
        <v>235</v>
      </c>
      <c r="E2" s="7" t="n">
        <f aca="false">SUMPRODUCT(--ISNUMBER(SEARCH(", "&amp;A2&amp;",",", "&amp;Requirements!$C$2:$C$8&amp;",")))</f>
        <v>1</v>
      </c>
      <c r="F2" s="7" t="n">
        <f aca="false">SUMPRODUCT(--ISNUMBER(SEARCH(", "&amp;A2&amp;",",", "&amp;RTM!$B$2:$B$30&amp;",")))</f>
        <v>6</v>
      </c>
    </row>
    <row r="3" customFormat="false" ht="23.85" hidden="false" customHeight="false" outlineLevel="0" collapsed="false">
      <c r="A3" s="8" t="s">
        <v>236</v>
      </c>
      <c r="B3" s="8" t="s">
        <v>237</v>
      </c>
      <c r="C3" s="8" t="s">
        <v>238</v>
      </c>
      <c r="D3" s="8" t="s">
        <v>235</v>
      </c>
      <c r="E3" s="8" t="n">
        <f aca="false">SUMPRODUCT(--ISNUMBER(SEARCH(", "&amp;A3&amp;",",", "&amp;Requirements!$C$2:$C$8&amp;",")))</f>
        <v>5</v>
      </c>
      <c r="F3" s="8" t="n">
        <f aca="false">SUMPRODUCT(--ISNUMBER(SEARCH(", "&amp;A3&amp;",",", "&amp;RTM!$B$2:$B$30&amp;",")))</f>
        <v>18</v>
      </c>
    </row>
    <row r="4" customFormat="false" ht="23.85" hidden="false" customHeight="false" outlineLevel="0" collapsed="false">
      <c r="A4" s="7" t="s">
        <v>239</v>
      </c>
      <c r="B4" s="7" t="s">
        <v>240</v>
      </c>
      <c r="C4" s="7" t="s">
        <v>241</v>
      </c>
      <c r="D4" s="7" t="s">
        <v>242</v>
      </c>
      <c r="E4" s="7" t="n">
        <f aca="false">SUMPRODUCT(--ISNUMBER(SEARCH(", "&amp;A4&amp;",",", "&amp;Requirements!$C$2:$C$8&amp;",")))</f>
        <v>2</v>
      </c>
      <c r="F4" s="7" t="n">
        <f aca="false">SUMPRODUCT(--ISNUMBER(SEARCH(", "&amp;A4&amp;",",", "&amp;RTM!$B$2:$B$30&amp;",")))</f>
        <v>7</v>
      </c>
    </row>
    <row r="5" customFormat="false" ht="15" hidden="false" customHeight="false" outlineLevel="0" collapsed="false">
      <c r="A5" s="8" t="s">
        <v>94</v>
      </c>
      <c r="B5" s="8" t="s">
        <v>243</v>
      </c>
      <c r="C5" s="8" t="s">
        <v>244</v>
      </c>
      <c r="D5" s="8" t="s">
        <v>235</v>
      </c>
      <c r="E5" s="8" t="n">
        <f aca="false">SUMPRODUCT(--ISNUMBER(SEARCH(", "&amp;A5&amp;",",", "&amp;Requirements!$C$2:$C$8&amp;",")))</f>
        <v>4</v>
      </c>
      <c r="F5" s="8" t="n">
        <f aca="false">SUMPRODUCT(--ISNUMBER(SEARCH(", "&amp;A5&amp;",",", "&amp;RTM!$B$2:$B$30&amp;",")))</f>
        <v>17</v>
      </c>
    </row>
    <row r="6" customFormat="false" ht="15" hidden="false" customHeight="false" outlineLevel="0" collapsed="false">
      <c r="A6" s="7" t="s">
        <v>245</v>
      </c>
      <c r="B6" s="7" t="s">
        <v>246</v>
      </c>
      <c r="C6" s="7" t="s">
        <v>241</v>
      </c>
      <c r="D6" s="7" t="s">
        <v>242</v>
      </c>
      <c r="E6" s="7" t="n">
        <f aca="false">SUMPRODUCT(--ISNUMBER(SEARCH(", "&amp;A6&amp;",",", "&amp;Requirements!$C$2:$C$8&amp;",")))</f>
        <v>1</v>
      </c>
      <c r="F6" s="7" t="n">
        <f aca="false">SUMPRODUCT(--ISNUMBER(SEARCH(", "&amp;A6&amp;",",", "&amp;RTM!$B$2:$B$30&amp;",")))</f>
        <v>1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6"/>
  </cols>
  <sheetData>
    <row r="1" customFormat="false" ht="31.5" hidden="false" customHeight="true" outlineLevel="0" collapsed="false">
      <c r="A1" s="6" t="s">
        <v>247</v>
      </c>
      <c r="B1" s="6" t="s">
        <v>248</v>
      </c>
      <c r="C1" s="6" t="s">
        <v>37</v>
      </c>
      <c r="D1" s="6" t="s">
        <v>249</v>
      </c>
      <c r="E1" s="6" t="s">
        <v>250</v>
      </c>
      <c r="F1" s="6" t="s">
        <v>215</v>
      </c>
    </row>
    <row r="2" customFormat="false" ht="15" hidden="false" customHeight="false" outlineLevel="0" collapsed="false">
      <c r="A2" s="7" t="s">
        <v>52</v>
      </c>
      <c r="B2" s="7" t="s">
        <v>251</v>
      </c>
      <c r="C2" s="7" t="s">
        <v>51</v>
      </c>
      <c r="D2" s="7" t="n">
        <f aca="false">SUMPRODUCT(--ISNUMBER(SEARCH(", "&amp;A2&amp;",",", "&amp;'User Stories'!$D$2:$D$7&amp;",")))</f>
        <v>1</v>
      </c>
      <c r="E2" s="7" t="n">
        <f aca="false">COUNTIF('Acceptance Criteria'!$C$2:$C$24,A2)</f>
        <v>3</v>
      </c>
      <c r="F2" s="7" t="n">
        <f aca="false">COUNTIF(RTM!$C$2:$C$30,A2)</f>
        <v>6</v>
      </c>
    </row>
    <row r="3" customFormat="false" ht="23.85" hidden="false" customHeight="false" outlineLevel="0" collapsed="false">
      <c r="A3" s="8" t="s">
        <v>81</v>
      </c>
      <c r="B3" s="8" t="s">
        <v>252</v>
      </c>
      <c r="C3" s="8" t="s">
        <v>80</v>
      </c>
      <c r="D3" s="8" t="n">
        <f aca="false">SUMPRODUCT(--ISNUMBER(SEARCH(", "&amp;A3&amp;",",", "&amp;'User Stories'!$D$2:$D$7&amp;",")))</f>
        <v>1</v>
      </c>
      <c r="E3" s="8" t="n">
        <f aca="false">COUNTIF('Acceptance Criteria'!$C$2:$C$24,A3)</f>
        <v>1</v>
      </c>
      <c r="F3" s="8" t="n">
        <f aca="false">COUNTIF(RTM!$C$2:$C$30,A3)</f>
        <v>1</v>
      </c>
    </row>
    <row r="4" customFormat="false" ht="23.85" hidden="false" customHeight="false" outlineLevel="0" collapsed="false">
      <c r="A4" s="7" t="s">
        <v>95</v>
      </c>
      <c r="B4" s="7" t="s">
        <v>253</v>
      </c>
      <c r="C4" s="7" t="s">
        <v>94</v>
      </c>
      <c r="D4" s="7" t="n">
        <f aca="false">SUMPRODUCT(--ISNUMBER(SEARCH(", "&amp;A4&amp;",",", "&amp;'User Stories'!$D$2:$D$7&amp;",")))</f>
        <v>2</v>
      </c>
      <c r="E4" s="7" t="n">
        <f aca="false">COUNTIF('Acceptance Criteria'!$C$2:$C$24,A4)</f>
        <v>7</v>
      </c>
      <c r="F4" s="7" t="n">
        <f aca="false">COUNTIF(RTM!$C$2:$C$30,A4)</f>
        <v>9</v>
      </c>
    </row>
    <row r="5" customFormat="false" ht="23.85" hidden="false" customHeight="false" outlineLevel="0" collapsed="false">
      <c r="A5" s="8" t="s">
        <v>142</v>
      </c>
      <c r="B5" s="8" t="s">
        <v>254</v>
      </c>
      <c r="C5" s="8" t="s">
        <v>80</v>
      </c>
      <c r="D5" s="8" t="n">
        <f aca="false">SUMPRODUCT(--ISNUMBER(SEARCH(", "&amp;A5&amp;",",", "&amp;'User Stories'!$D$2:$D$7&amp;",")))</f>
        <v>1</v>
      </c>
      <c r="E5" s="8" t="n">
        <f aca="false">COUNTIF('Acceptance Criteria'!$C$2:$C$24,A5)</f>
        <v>5</v>
      </c>
      <c r="F5" s="8" t="n">
        <f aca="false">COUNTIF(RTM!$C$2:$C$30,A5)</f>
        <v>5</v>
      </c>
    </row>
    <row r="6" customFormat="false" ht="23.85" hidden="false" customHeight="false" outlineLevel="0" collapsed="false">
      <c r="A6" s="7" t="s">
        <v>167</v>
      </c>
      <c r="B6" s="7" t="s">
        <v>255</v>
      </c>
      <c r="C6" s="7" t="s">
        <v>166</v>
      </c>
      <c r="D6" s="7" t="n">
        <f aca="false">SUMPRODUCT(--ISNUMBER(SEARCH(", "&amp;A6&amp;",",", "&amp;'User Stories'!$D$2:$D$7&amp;",")))</f>
        <v>1</v>
      </c>
      <c r="E6" s="7" t="n">
        <f aca="false">COUNTIF('Acceptance Criteria'!$C$2:$C$24,A6)</f>
        <v>4</v>
      </c>
      <c r="F6" s="7" t="n">
        <f aca="false">COUNTIF(RTM!$C$2:$C$30,A6)</f>
        <v>5</v>
      </c>
    </row>
    <row r="7" customFormat="false" ht="15" hidden="false" customHeight="false" outlineLevel="0" collapsed="false">
      <c r="A7" s="8" t="s">
        <v>88</v>
      </c>
      <c r="B7" s="8" t="s">
        <v>256</v>
      </c>
      <c r="C7" s="8" t="s">
        <v>87</v>
      </c>
      <c r="D7" s="8" t="n">
        <f aca="false">SUMPRODUCT(--ISNUMBER(SEARCH(", "&amp;A7&amp;",",", "&amp;'User Stories'!$D$2:$D$7&amp;",")))</f>
        <v>1</v>
      </c>
      <c r="E7" s="8" t="n">
        <f aca="false">COUNTIF('Acceptance Criteria'!$C$2:$C$24,A7)</f>
        <v>2</v>
      </c>
      <c r="F7" s="8" t="n">
        <f aca="false">COUNTIF(RTM!$C$2:$C$30,A7)</f>
        <v>2</v>
      </c>
    </row>
    <row r="8" customFormat="false" ht="15" hidden="false" customHeight="false" outlineLevel="0" collapsed="false">
      <c r="A8" s="7" t="s">
        <v>191</v>
      </c>
      <c r="B8" s="7" t="s">
        <v>257</v>
      </c>
      <c r="C8" s="7" t="s">
        <v>190</v>
      </c>
      <c r="D8" s="7" t="n">
        <f aca="false">SUMPRODUCT(--ISNUMBER(SEARCH(", "&amp;A8&amp;",",", "&amp;'User Stories'!$D$2:$D$7&amp;",")))</f>
        <v>1</v>
      </c>
      <c r="E8" s="7" t="n">
        <f aca="false">COUNTIF('Acceptance Criteria'!$C$2:$C$24,A8)</f>
        <v>1</v>
      </c>
      <c r="F8" s="7" t="n">
        <f aca="false">COUNTIF(RTM!$C$2:$C$30,A8)</f>
        <v>1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7" min="6" style="0" width="16"/>
  </cols>
  <sheetData>
    <row r="1" customFormat="false" ht="31.5" hidden="false" customHeight="true" outlineLevel="0" collapsed="false">
      <c r="A1" s="6" t="s">
        <v>258</v>
      </c>
      <c r="B1" s="6" t="s">
        <v>211</v>
      </c>
      <c r="C1" s="6" t="s">
        <v>259</v>
      </c>
      <c r="D1" s="6" t="s">
        <v>260</v>
      </c>
      <c r="E1" s="6" t="s">
        <v>261</v>
      </c>
      <c r="F1" s="6" t="s">
        <v>250</v>
      </c>
      <c r="G1" s="6" t="s">
        <v>215</v>
      </c>
    </row>
    <row r="2" customFormat="false" ht="15" hidden="false" customHeight="false" outlineLevel="0" collapsed="false">
      <c r="A2" s="7" t="s">
        <v>53</v>
      </c>
      <c r="B2" s="7" t="s">
        <v>262</v>
      </c>
      <c r="C2" s="7" t="s">
        <v>263</v>
      </c>
      <c r="D2" s="7" t="s">
        <v>264</v>
      </c>
      <c r="E2" s="7" t="s">
        <v>265</v>
      </c>
      <c r="F2" s="7" t="n">
        <f aca="false">COUNTIF('Acceptance Criteria'!$B$2:$B$24,A2)</f>
        <v>5</v>
      </c>
      <c r="G2" s="7" t="n">
        <f aca="false">COUNTIF(RTM!$D$2:$D$30,A2)</f>
        <v>8</v>
      </c>
    </row>
    <row r="3" customFormat="false" ht="15" hidden="false" customHeight="false" outlineLevel="0" collapsed="false">
      <c r="A3" s="8" t="s">
        <v>96</v>
      </c>
      <c r="B3" s="8" t="s">
        <v>266</v>
      </c>
      <c r="C3" s="8" t="s">
        <v>263</v>
      </c>
      <c r="D3" s="8" t="s">
        <v>95</v>
      </c>
      <c r="E3" s="8" t="s">
        <v>265</v>
      </c>
      <c r="F3" s="8" t="n">
        <f aca="false">COUNTIF('Acceptance Criteria'!$B$2:$B$24,A3)</f>
        <v>3</v>
      </c>
      <c r="G3" s="8" t="n">
        <f aca="false">COUNTIF(RTM!$D$2:$D$30,A3)</f>
        <v>3</v>
      </c>
    </row>
    <row r="4" customFormat="false" ht="15" hidden="false" customHeight="false" outlineLevel="0" collapsed="false">
      <c r="A4" s="7" t="s">
        <v>111</v>
      </c>
      <c r="B4" s="7" t="s">
        <v>267</v>
      </c>
      <c r="C4" s="7" t="s">
        <v>263</v>
      </c>
      <c r="D4" s="7" t="s">
        <v>268</v>
      </c>
      <c r="E4" s="7" t="s">
        <v>265</v>
      </c>
      <c r="F4" s="7" t="n">
        <f aca="false">COUNTIF('Acceptance Criteria'!$B$2:$B$24,A4)</f>
        <v>5</v>
      </c>
      <c r="G4" s="7" t="n">
        <f aca="false">COUNTIF(RTM!$D$2:$D$30,A4)</f>
        <v>7</v>
      </c>
    </row>
    <row r="5" customFormat="false" ht="15" hidden="false" customHeight="false" outlineLevel="0" collapsed="false">
      <c r="A5" s="8" t="s">
        <v>143</v>
      </c>
      <c r="B5" s="8" t="s">
        <v>269</v>
      </c>
      <c r="C5" s="8" t="s">
        <v>263</v>
      </c>
      <c r="D5" s="8" t="s">
        <v>142</v>
      </c>
      <c r="E5" s="8" t="s">
        <v>270</v>
      </c>
      <c r="F5" s="8" t="n">
        <f aca="false">COUNTIF('Acceptance Criteria'!$B$2:$B$24,A5)</f>
        <v>5</v>
      </c>
      <c r="G5" s="8" t="n">
        <f aca="false">COUNTIF(RTM!$D$2:$D$30,A5)</f>
        <v>5</v>
      </c>
    </row>
    <row r="6" customFormat="false" ht="15" hidden="false" customHeight="false" outlineLevel="0" collapsed="false">
      <c r="A6" s="7" t="s">
        <v>168</v>
      </c>
      <c r="B6" s="7" t="s">
        <v>271</v>
      </c>
      <c r="C6" s="7" t="s">
        <v>272</v>
      </c>
      <c r="D6" s="7" t="s">
        <v>167</v>
      </c>
      <c r="E6" s="7" t="s">
        <v>265</v>
      </c>
      <c r="F6" s="7" t="n">
        <f aca="false">COUNTIF('Acceptance Criteria'!$B$2:$B$24,A6)</f>
        <v>4</v>
      </c>
      <c r="G6" s="7" t="n">
        <f aca="false">COUNTIF(RTM!$D$2:$D$30,A6)</f>
        <v>5</v>
      </c>
    </row>
    <row r="7" customFormat="false" ht="15" hidden="false" customHeight="false" outlineLevel="0" collapsed="false">
      <c r="A7" s="8" t="s">
        <v>192</v>
      </c>
      <c r="B7" s="8" t="s">
        <v>273</v>
      </c>
      <c r="C7" s="8" t="s">
        <v>274</v>
      </c>
      <c r="D7" s="8" t="s">
        <v>191</v>
      </c>
      <c r="E7" s="8" t="s">
        <v>265</v>
      </c>
      <c r="F7" s="8" t="n">
        <f aca="false">COUNTIF('Acceptance Criteria'!$B$2:$B$24,A7)</f>
        <v>1</v>
      </c>
      <c r="G7" s="8" t="n">
        <f aca="false">COUNTIF(RTM!$D$2:$D$30,A7)</f>
        <v>1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6" t="s">
        <v>275</v>
      </c>
      <c r="B1" s="6" t="s">
        <v>39</v>
      </c>
      <c r="C1" s="6" t="s">
        <v>276</v>
      </c>
      <c r="D1" s="6" t="s">
        <v>277</v>
      </c>
      <c r="E1" s="6" t="s">
        <v>278</v>
      </c>
      <c r="F1" s="6" t="s">
        <v>42</v>
      </c>
      <c r="G1" s="6" t="s">
        <v>43</v>
      </c>
      <c r="H1" s="6" t="s">
        <v>279</v>
      </c>
      <c r="I1" s="6" t="s">
        <v>280</v>
      </c>
    </row>
    <row r="2" customFormat="false" ht="23.85" hidden="false" customHeight="false" outlineLevel="0" collapsed="false">
      <c r="A2" s="7" t="s">
        <v>54</v>
      </c>
      <c r="B2" s="7" t="s">
        <v>53</v>
      </c>
      <c r="C2" s="7" t="s">
        <v>52</v>
      </c>
      <c r="D2" s="7" t="s">
        <v>281</v>
      </c>
      <c r="E2" s="7" t="s">
        <v>55</v>
      </c>
      <c r="F2" s="7" t="s">
        <v>56</v>
      </c>
      <c r="G2" s="7" t="str">
        <f aca="false">IF(((Screens!$D$2="Wireframed"))=1,"Wireframed",IF(((Screens!$D$2="Wireframed"))=0,"Gap","Partial"))</f>
        <v>Wireframed</v>
      </c>
      <c r="H2" s="7" t="n">
        <f aca="false">COUNTIF(RTM!$E$2:$E$30,A2)</f>
        <v>3</v>
      </c>
      <c r="I2" s="7" t="str">
        <f aca="false">IF(H2&gt;0,"Covered","NOT COVERED")</f>
        <v>Covered</v>
      </c>
    </row>
    <row r="3" customFormat="false" ht="23.85" hidden="false" customHeight="false" outlineLevel="0" collapsed="false">
      <c r="A3" s="8" t="s">
        <v>60</v>
      </c>
      <c r="B3" s="8" t="s">
        <v>53</v>
      </c>
      <c r="C3" s="8" t="s">
        <v>52</v>
      </c>
      <c r="D3" s="8" t="s">
        <v>282</v>
      </c>
      <c r="E3" s="8" t="s">
        <v>55</v>
      </c>
      <c r="F3" s="8" t="s">
        <v>61</v>
      </c>
      <c r="G3" s="8" t="str">
        <f aca="false">IF(((Screens!$D$3="Wireframed")+(Screens!$D$4="Wireframed"))=2,"Wireframed",IF(((Screens!$D$3="Wireframed")+(Screens!$D$4="Wireframed"))=0,"Gap","Partial"))</f>
        <v>Wireframed</v>
      </c>
      <c r="H3" s="8" t="n">
        <f aca="false">COUNTIF(RTM!$E$2:$E$30,A3)</f>
        <v>1</v>
      </c>
      <c r="I3" s="8" t="str">
        <f aca="false">IF(H3&gt;0,"Covered","NOT COVERED")</f>
        <v>Covered</v>
      </c>
    </row>
    <row r="4" customFormat="false" ht="23.85" hidden="false" customHeight="false" outlineLevel="0" collapsed="false">
      <c r="A4" s="7" t="s">
        <v>82</v>
      </c>
      <c r="B4" s="7" t="s">
        <v>53</v>
      </c>
      <c r="C4" s="7" t="s">
        <v>81</v>
      </c>
      <c r="D4" s="7" t="s">
        <v>283</v>
      </c>
      <c r="E4" s="7" t="s">
        <v>55</v>
      </c>
      <c r="F4" s="7" t="s">
        <v>83</v>
      </c>
      <c r="G4" s="7" t="str">
        <f aca="false">IF(((Screens!$D$7="Wireframed"))=1,"Wireframed",IF(((Screens!$D$7="Wireframed"))=0,"Gap","Partial"))</f>
        <v>Gap</v>
      </c>
      <c r="H4" s="7" t="n">
        <f aca="false">COUNTIF(RTM!$E$2:$E$30,A4)</f>
        <v>1</v>
      </c>
      <c r="I4" s="7" t="str">
        <f aca="false">IF(H4&gt;0,"Covered","NOT COVERED")</f>
        <v>Covered</v>
      </c>
    </row>
    <row r="5" customFormat="false" ht="15" hidden="false" customHeight="false" outlineLevel="0" collapsed="false">
      <c r="A5" s="8" t="s">
        <v>71</v>
      </c>
      <c r="B5" s="8" t="s">
        <v>53</v>
      </c>
      <c r="C5" s="8" t="s">
        <v>52</v>
      </c>
      <c r="D5" s="8" t="s">
        <v>284</v>
      </c>
      <c r="E5" s="8" t="s">
        <v>72</v>
      </c>
      <c r="F5" s="8" t="s">
        <v>73</v>
      </c>
      <c r="G5" s="8" t="str">
        <f aca="false">IF(((Screens!$D$10="Wireframed"))=1,"Wireframed",IF(((Screens!$D$10="Wireframed"))=0,"Gap","Partial"))</f>
        <v>Gap</v>
      </c>
      <c r="H5" s="8" t="n">
        <f aca="false">COUNTIF(RTM!$E$2:$E$30,A5)</f>
        <v>2</v>
      </c>
      <c r="I5" s="8" t="str">
        <f aca="false">IF(H5&gt;0,"Covered","NOT COVERED")</f>
        <v>Covered</v>
      </c>
    </row>
    <row r="6" customFormat="false" ht="23.85" hidden="false" customHeight="false" outlineLevel="0" collapsed="false">
      <c r="A6" s="7" t="s">
        <v>89</v>
      </c>
      <c r="B6" s="7" t="s">
        <v>53</v>
      </c>
      <c r="C6" s="7" t="s">
        <v>88</v>
      </c>
      <c r="D6" s="7" t="s">
        <v>285</v>
      </c>
      <c r="E6" s="7" t="s">
        <v>72</v>
      </c>
      <c r="F6" s="7" t="s">
        <v>90</v>
      </c>
      <c r="G6" s="7" t="str">
        <f aca="false">IF(((Screens!$D$3="Wireframed"))=1,"Wireframed",IF(((Screens!$D$3="Wireframed"))=0,"Gap","Partial"))</f>
        <v>Wireframed</v>
      </c>
      <c r="H6" s="7" t="n">
        <f aca="false">COUNTIF(RTM!$E$2:$E$30,A6)</f>
        <v>1</v>
      </c>
      <c r="I6" s="7" t="str">
        <f aca="false">IF(H6&gt;0,"Covered","NOT COVERED")</f>
        <v>Covered</v>
      </c>
    </row>
    <row r="7" customFormat="false" ht="23.85" hidden="false" customHeight="false" outlineLevel="0" collapsed="false">
      <c r="A7" s="8" t="s">
        <v>97</v>
      </c>
      <c r="B7" s="8" t="s">
        <v>96</v>
      </c>
      <c r="C7" s="8" t="s">
        <v>95</v>
      </c>
      <c r="D7" s="8" t="s">
        <v>286</v>
      </c>
      <c r="E7" s="8" t="s">
        <v>55</v>
      </c>
      <c r="F7" s="8" t="s">
        <v>98</v>
      </c>
      <c r="G7" s="8" t="str">
        <f aca="false">IF(((Screens!$D$5="Wireframed"))=1,"Wireframed",IF(((Screens!$D$5="Wireframed"))=0,"Gap","Partial"))</f>
        <v>Wireframed</v>
      </c>
      <c r="H7" s="8" t="n">
        <f aca="false">COUNTIF(RTM!$E$2:$E$30,A7)</f>
        <v>1</v>
      </c>
      <c r="I7" s="8" t="str">
        <f aca="false">IF(H7&gt;0,"Covered","NOT COVERED")</f>
        <v>Covered</v>
      </c>
    </row>
    <row r="8" customFormat="false" ht="15" hidden="false" customHeight="false" outlineLevel="0" collapsed="false">
      <c r="A8" s="7" t="s">
        <v>102</v>
      </c>
      <c r="B8" s="7" t="s">
        <v>96</v>
      </c>
      <c r="C8" s="7" t="s">
        <v>95</v>
      </c>
      <c r="D8" s="7" t="s">
        <v>287</v>
      </c>
      <c r="E8" s="7" t="s">
        <v>55</v>
      </c>
      <c r="F8" s="7" t="s">
        <v>98</v>
      </c>
      <c r="G8" s="7" t="str">
        <f aca="false">IF(((Screens!$D$5="Wireframed"))=1,"Wireframed",IF(((Screens!$D$5="Wireframed"))=0,"Gap","Partial"))</f>
        <v>Wireframed</v>
      </c>
      <c r="H8" s="7" t="n">
        <f aca="false">COUNTIF(RTM!$E$2:$E$30,A8)</f>
        <v>1</v>
      </c>
      <c r="I8" s="7" t="str">
        <f aca="false">IF(H8&gt;0,"Covered","NOT COVERED")</f>
        <v>Covered</v>
      </c>
    </row>
    <row r="9" customFormat="false" ht="23.85" hidden="false" customHeight="false" outlineLevel="0" collapsed="false">
      <c r="A9" s="8" t="s">
        <v>106</v>
      </c>
      <c r="B9" s="8" t="s">
        <v>96</v>
      </c>
      <c r="C9" s="8" t="s">
        <v>95</v>
      </c>
      <c r="D9" s="8" t="s">
        <v>288</v>
      </c>
      <c r="E9" s="8" t="s">
        <v>55</v>
      </c>
      <c r="F9" s="8" t="s">
        <v>107</v>
      </c>
      <c r="G9" s="8" t="str">
        <f aca="false">IF(((Screens!$D$9="Wireframed"))=1,"Wireframed",IF(((Screens!$D$9="Wireframed"))=0,"Gap","Partial"))</f>
        <v>Gap</v>
      </c>
      <c r="H9" s="8" t="n">
        <f aca="false">COUNTIF(RTM!$E$2:$E$30,A9)</f>
        <v>1</v>
      </c>
      <c r="I9" s="8" t="str">
        <f aca="false">IF(H9&gt;0,"Covered","NOT COVERED")</f>
        <v>Covered</v>
      </c>
    </row>
    <row r="10" customFormat="false" ht="23.85" hidden="false" customHeight="false" outlineLevel="0" collapsed="false">
      <c r="A10" s="7" t="s">
        <v>112</v>
      </c>
      <c r="B10" s="7" t="s">
        <v>111</v>
      </c>
      <c r="C10" s="7" t="s">
        <v>95</v>
      </c>
      <c r="D10" s="7" t="s">
        <v>289</v>
      </c>
      <c r="E10" s="7" t="s">
        <v>55</v>
      </c>
      <c r="F10" s="7" t="s">
        <v>113</v>
      </c>
      <c r="G10" s="7" t="str">
        <f aca="false">IF(((Screens!$D$5="Wireframed")+(Screens!$D$6="Wireframed"))=2,"Wireframed",IF(((Screens!$D$5="Wireframed")+(Screens!$D$6="Wireframed"))=0,"Gap","Partial"))</f>
        <v>Wireframed</v>
      </c>
      <c r="H10" s="7" t="n">
        <f aca="false">COUNTIF(RTM!$E$2:$E$30,A10)</f>
        <v>2</v>
      </c>
      <c r="I10" s="7" t="str">
        <f aca="false">IF(H10&gt;0,"Covered","NOT COVERED")</f>
        <v>Covered</v>
      </c>
    </row>
    <row r="11" customFormat="false" ht="23.85" hidden="false" customHeight="false" outlineLevel="0" collapsed="false">
      <c r="A11" s="8" t="s">
        <v>120</v>
      </c>
      <c r="B11" s="8" t="s">
        <v>111</v>
      </c>
      <c r="C11" s="8" t="s">
        <v>88</v>
      </c>
      <c r="D11" s="8" t="s">
        <v>290</v>
      </c>
      <c r="E11" s="8" t="s">
        <v>55</v>
      </c>
      <c r="F11" s="8" t="s">
        <v>121</v>
      </c>
      <c r="G11" s="8" t="str">
        <f aca="false">IF(((Screens!$D$8="Wireframed"))=1,"Wireframed",IF(((Screens!$D$8="Wireframed"))=0,"Gap","Partial"))</f>
        <v>Gap</v>
      </c>
      <c r="H11" s="8" t="n">
        <f aca="false">COUNTIF(RTM!$E$2:$E$30,A11)</f>
        <v>1</v>
      </c>
      <c r="I11" s="8" t="str">
        <f aca="false">IF(H11&gt;0,"Covered","NOT COVERED")</f>
        <v>Covered</v>
      </c>
    </row>
    <row r="12" customFormat="false" ht="23.85" hidden="false" customHeight="false" outlineLevel="0" collapsed="false">
      <c r="A12" s="7" t="s">
        <v>130</v>
      </c>
      <c r="B12" s="7" t="s">
        <v>111</v>
      </c>
      <c r="C12" s="7" t="s">
        <v>95</v>
      </c>
      <c r="D12" s="7" t="s">
        <v>291</v>
      </c>
      <c r="E12" s="7" t="s">
        <v>55</v>
      </c>
      <c r="F12" s="7" t="s">
        <v>131</v>
      </c>
      <c r="G12" s="7" t="str">
        <f aca="false">IF(((Screens!$D$2="Wireframed")+(Screens!$D$3="Wireframed"))=2,"Wireframed",IF(((Screens!$D$2="Wireframed")+(Screens!$D$3="Wireframed"))=0,"Gap","Partial"))</f>
        <v>Wireframed</v>
      </c>
      <c r="H12" s="7" t="n">
        <f aca="false">COUNTIF(RTM!$E$2:$E$30,A12)</f>
        <v>2</v>
      </c>
      <c r="I12" s="7" t="str">
        <f aca="false">IF(H12&gt;0,"Covered","NOT COVERED")</f>
        <v>Covered</v>
      </c>
    </row>
    <row r="13" customFormat="false" ht="15" hidden="false" customHeight="false" outlineLevel="0" collapsed="false">
      <c r="A13" s="8" t="s">
        <v>125</v>
      </c>
      <c r="B13" s="8" t="s">
        <v>111</v>
      </c>
      <c r="C13" s="8" t="s">
        <v>95</v>
      </c>
      <c r="D13" s="8" t="s">
        <v>292</v>
      </c>
      <c r="E13" s="8" t="s">
        <v>72</v>
      </c>
      <c r="F13" s="8" t="s">
        <v>126</v>
      </c>
      <c r="G13" s="8" t="str">
        <f aca="false">IF(((Screens!$D$6="Wireframed"))=1,"Wireframed",IF(((Screens!$D$6="Wireframed"))=0,"Gap","Partial"))</f>
        <v>Wireframed</v>
      </c>
      <c r="H13" s="8" t="n">
        <f aca="false">COUNTIF(RTM!$E$2:$E$30,A13)</f>
        <v>1</v>
      </c>
      <c r="I13" s="8" t="str">
        <f aca="false">IF(H13&gt;0,"Covered","NOT COVERED")</f>
        <v>Covered</v>
      </c>
    </row>
    <row r="14" customFormat="false" ht="15" hidden="false" customHeight="false" outlineLevel="0" collapsed="false">
      <c r="A14" s="7" t="s">
        <v>138</v>
      </c>
      <c r="B14" s="7" t="s">
        <v>111</v>
      </c>
      <c r="C14" s="7" t="s">
        <v>95</v>
      </c>
      <c r="D14" s="7" t="s">
        <v>293</v>
      </c>
      <c r="E14" s="7" t="s">
        <v>72</v>
      </c>
      <c r="F14" s="7" t="s">
        <v>98</v>
      </c>
      <c r="G14" s="7" t="str">
        <f aca="false">IF(((Screens!$D$5="Wireframed"))=1,"Wireframed",IF(((Screens!$D$5="Wireframed"))=0,"Gap","Partial"))</f>
        <v>Wireframed</v>
      </c>
      <c r="H14" s="7" t="n">
        <f aca="false">COUNTIF(RTM!$E$2:$E$30,A14)</f>
        <v>1</v>
      </c>
      <c r="I14" s="7" t="str">
        <f aca="false">IF(H14&gt;0,"Covered","NOT COVERED")</f>
        <v>Covered</v>
      </c>
    </row>
    <row r="15" customFormat="false" ht="23.85" hidden="false" customHeight="false" outlineLevel="0" collapsed="false">
      <c r="A15" s="8" t="s">
        <v>144</v>
      </c>
      <c r="B15" s="8" t="s">
        <v>143</v>
      </c>
      <c r="C15" s="8" t="s">
        <v>142</v>
      </c>
      <c r="D15" s="8" t="s">
        <v>294</v>
      </c>
      <c r="E15" s="8" t="s">
        <v>55</v>
      </c>
      <c r="F15" s="8" t="s">
        <v>145</v>
      </c>
      <c r="G15" s="8" t="str">
        <f aca="false">IF(((Screens!$D$11="Wireframed")+(Screens!$D$4="Wireframed"))=2,"Wireframed",IF(((Screens!$D$11="Wireframed")+(Screens!$D$4="Wireframed"))=0,"Gap","Partial"))</f>
        <v>Partial</v>
      </c>
      <c r="H15" s="8" t="n">
        <f aca="false">COUNTIF(RTM!$E$2:$E$30,A15)</f>
        <v>1</v>
      </c>
      <c r="I15" s="8" t="str">
        <f aca="false">IF(H15&gt;0,"Covered","NOT COVERED")</f>
        <v>Covered</v>
      </c>
    </row>
    <row r="16" customFormat="false" ht="23.85" hidden="false" customHeight="false" outlineLevel="0" collapsed="false">
      <c r="A16" s="7" t="s">
        <v>149</v>
      </c>
      <c r="B16" s="7" t="s">
        <v>143</v>
      </c>
      <c r="C16" s="7" t="s">
        <v>142</v>
      </c>
      <c r="D16" s="7" t="s">
        <v>295</v>
      </c>
      <c r="E16" s="7" t="s">
        <v>55</v>
      </c>
      <c r="F16" s="7" t="s">
        <v>150</v>
      </c>
      <c r="G16" s="7" t="str">
        <f aca="false">IF(((Screens!$D$11="Wireframed"))=1,"Wireframed",IF(((Screens!$D$11="Wireframed"))=0,"Gap","Partial"))</f>
        <v>Gap</v>
      </c>
      <c r="H16" s="7" t="n">
        <f aca="false">COUNTIF(RTM!$E$2:$E$30,A16)</f>
        <v>1</v>
      </c>
      <c r="I16" s="7" t="str">
        <f aca="false">IF(H16&gt;0,"Covered","NOT COVERED")</f>
        <v>Covered</v>
      </c>
    </row>
    <row r="17" customFormat="false" ht="15" hidden="false" customHeight="false" outlineLevel="0" collapsed="false">
      <c r="A17" s="8" t="s">
        <v>154</v>
      </c>
      <c r="B17" s="8" t="s">
        <v>143</v>
      </c>
      <c r="C17" s="8" t="s">
        <v>142</v>
      </c>
      <c r="D17" s="8" t="s">
        <v>296</v>
      </c>
      <c r="E17" s="8" t="s">
        <v>55</v>
      </c>
      <c r="F17" s="8" t="s">
        <v>150</v>
      </c>
      <c r="G17" s="8" t="str">
        <f aca="false">IF(((Screens!$D$11="Wireframed"))=1,"Wireframed",IF(((Screens!$D$11="Wireframed"))=0,"Gap","Partial"))</f>
        <v>Gap</v>
      </c>
      <c r="H17" s="8" t="n">
        <f aca="false">COUNTIF(RTM!$E$2:$E$30,A17)</f>
        <v>1</v>
      </c>
      <c r="I17" s="8" t="str">
        <f aca="false">IF(H17&gt;0,"Covered","NOT COVERED")</f>
        <v>Covered</v>
      </c>
    </row>
    <row r="18" customFormat="false" ht="15" hidden="false" customHeight="false" outlineLevel="0" collapsed="false">
      <c r="A18" s="7" t="s">
        <v>158</v>
      </c>
      <c r="B18" s="7" t="s">
        <v>143</v>
      </c>
      <c r="C18" s="7" t="s">
        <v>142</v>
      </c>
      <c r="D18" s="7" t="s">
        <v>297</v>
      </c>
      <c r="E18" s="7" t="s">
        <v>72</v>
      </c>
      <c r="F18" s="7" t="s">
        <v>150</v>
      </c>
      <c r="G18" s="7" t="str">
        <f aca="false">IF(((Screens!$D$11="Wireframed"))=1,"Wireframed",IF(((Screens!$D$11="Wireframed"))=0,"Gap","Partial"))</f>
        <v>Gap</v>
      </c>
      <c r="H18" s="7" t="n">
        <f aca="false">COUNTIF(RTM!$E$2:$E$30,A18)</f>
        <v>1</v>
      </c>
      <c r="I18" s="7" t="str">
        <f aca="false">IF(H18&gt;0,"Covered","NOT COVERED")</f>
        <v>Covered</v>
      </c>
    </row>
    <row r="19" customFormat="false" ht="15" hidden="false" customHeight="false" outlineLevel="0" collapsed="false">
      <c r="A19" s="8" t="s">
        <v>162</v>
      </c>
      <c r="B19" s="8" t="s">
        <v>143</v>
      </c>
      <c r="C19" s="8" t="s">
        <v>142</v>
      </c>
      <c r="D19" s="8" t="s">
        <v>298</v>
      </c>
      <c r="E19" s="8" t="s">
        <v>72</v>
      </c>
      <c r="F19" s="8" t="s">
        <v>150</v>
      </c>
      <c r="G19" s="8" t="str">
        <f aca="false">IF(((Screens!$D$11="Wireframed"))=1,"Wireframed",IF(((Screens!$D$11="Wireframed"))=0,"Gap","Partial"))</f>
        <v>Gap</v>
      </c>
      <c r="H19" s="8" t="n">
        <f aca="false">COUNTIF(RTM!$E$2:$E$30,A19)</f>
        <v>1</v>
      </c>
      <c r="I19" s="8" t="str">
        <f aca="false">IF(H19&gt;0,"Covered","NOT COVERED")</f>
        <v>Covered</v>
      </c>
    </row>
    <row r="20" customFormat="false" ht="23.85" hidden="false" customHeight="false" outlineLevel="0" collapsed="false">
      <c r="A20" s="7" t="s">
        <v>169</v>
      </c>
      <c r="B20" s="7" t="s">
        <v>168</v>
      </c>
      <c r="C20" s="7" t="s">
        <v>167</v>
      </c>
      <c r="D20" s="7" t="s">
        <v>299</v>
      </c>
      <c r="E20" s="7" t="s">
        <v>55</v>
      </c>
      <c r="F20" s="7" t="s">
        <v>170</v>
      </c>
      <c r="G20" s="7" t="str">
        <f aca="false">IF(((Screens!$D$12="Wireframed"))=1,"Wireframed",IF(((Screens!$D$12="Wireframed"))=0,"Gap","Partial"))</f>
        <v>Gap</v>
      </c>
      <c r="H20" s="7" t="n">
        <f aca="false">COUNTIF(RTM!$E$2:$E$30,A20)</f>
        <v>1</v>
      </c>
      <c r="I20" s="7" t="str">
        <f aca="false">IF(H20&gt;0,"Covered","NOT COVERED")</f>
        <v>Covered</v>
      </c>
    </row>
    <row r="21" customFormat="false" ht="15" hidden="false" customHeight="false" outlineLevel="0" collapsed="false">
      <c r="A21" s="8" t="s">
        <v>174</v>
      </c>
      <c r="B21" s="8" t="s">
        <v>168</v>
      </c>
      <c r="C21" s="8" t="s">
        <v>167</v>
      </c>
      <c r="D21" s="8" t="s">
        <v>300</v>
      </c>
      <c r="E21" s="8" t="s">
        <v>55</v>
      </c>
      <c r="F21" s="8" t="s">
        <v>170</v>
      </c>
      <c r="G21" s="8" t="str">
        <f aca="false">IF(((Screens!$D$12="Wireframed"))=1,"Wireframed",IF(((Screens!$D$12="Wireframed"))=0,"Gap","Partial"))</f>
        <v>Gap</v>
      </c>
      <c r="H21" s="8" t="n">
        <f aca="false">COUNTIF(RTM!$E$2:$E$30,A21)</f>
        <v>1</v>
      </c>
      <c r="I21" s="8" t="str">
        <f aca="false">IF(H21&gt;0,"Covered","NOT COVERED")</f>
        <v>Covered</v>
      </c>
    </row>
    <row r="22" customFormat="false" ht="23.85" hidden="false" customHeight="false" outlineLevel="0" collapsed="false">
      <c r="A22" s="7" t="s">
        <v>178</v>
      </c>
      <c r="B22" s="7" t="s">
        <v>168</v>
      </c>
      <c r="C22" s="7" t="s">
        <v>167</v>
      </c>
      <c r="D22" s="7" t="s">
        <v>301</v>
      </c>
      <c r="E22" s="7" t="s">
        <v>55</v>
      </c>
      <c r="F22" s="7" t="s">
        <v>170</v>
      </c>
      <c r="G22" s="7" t="str">
        <f aca="false">IF(((Screens!$D$12="Wireframed"))=1,"Wireframed",IF(((Screens!$D$12="Wireframed"))=0,"Gap","Partial"))</f>
        <v>Gap</v>
      </c>
      <c r="H22" s="7" t="n">
        <f aca="false">COUNTIF(RTM!$E$2:$E$30,A22)</f>
        <v>2</v>
      </c>
      <c r="I22" s="7" t="str">
        <f aca="false">IF(H22&gt;0,"Covered","NOT COVERED")</f>
        <v>Covered</v>
      </c>
    </row>
    <row r="23" customFormat="false" ht="15" hidden="false" customHeight="false" outlineLevel="0" collapsed="false">
      <c r="A23" s="8" t="s">
        <v>185</v>
      </c>
      <c r="B23" s="8" t="s">
        <v>168</v>
      </c>
      <c r="C23" s="8" t="s">
        <v>167</v>
      </c>
      <c r="D23" s="8" t="s">
        <v>302</v>
      </c>
      <c r="E23" s="8" t="s">
        <v>72</v>
      </c>
      <c r="F23" s="8" t="s">
        <v>186</v>
      </c>
      <c r="G23" s="8" t="str">
        <f aca="false">IF(((Screens!$D$12="Wireframed")+(Screens!$D$11="Wireframed"))=2,"Wireframed",IF(((Screens!$D$12="Wireframed")+(Screens!$D$11="Wireframed"))=0,"Gap","Partial"))</f>
        <v>Gap</v>
      </c>
      <c r="H23" s="8" t="n">
        <f aca="false">COUNTIF(RTM!$E$2:$E$30,A23)</f>
        <v>1</v>
      </c>
      <c r="I23" s="8" t="str">
        <f aca="false">IF(H23&gt;0,"Covered","NOT COVERED")</f>
        <v>Covered</v>
      </c>
    </row>
    <row r="24" customFormat="false" ht="23.85" hidden="false" customHeight="false" outlineLevel="0" collapsed="false">
      <c r="A24" s="7" t="s">
        <v>193</v>
      </c>
      <c r="B24" s="7" t="s">
        <v>192</v>
      </c>
      <c r="C24" s="7" t="s">
        <v>191</v>
      </c>
      <c r="D24" s="7" t="s">
        <v>303</v>
      </c>
      <c r="E24" s="7" t="s">
        <v>55</v>
      </c>
      <c r="F24" s="7"/>
      <c r="G24" s="7" t="str">
        <f aca="false">"N/A (back-end)"</f>
        <v>N/A (back-end)</v>
      </c>
      <c r="H24" s="7" t="n">
        <f aca="false">COUNTIF(RTM!$E$2:$E$30,A24)</f>
        <v>1</v>
      </c>
      <c r="I24" s="7" t="str">
        <f aca="false">IF(H24&gt;0,"Covered","NOT COVERED")</f>
        <v>Covered</v>
      </c>
    </row>
  </sheetData>
  <autoFilter ref="A1:I24"/>
  <conditionalFormatting sqref="G2:G24">
    <cfRule type="cellIs" priority="2" operator="equal" aboveAverage="0" equalAverage="0" bottom="0" percent="0" rank="0" text="" dxfId="8">
      <formula>"Wireframed"</formula>
    </cfRule>
    <cfRule type="cellIs" priority="3" operator="equal" aboveAverage="0" equalAverage="0" bottom="0" percent="0" rank="0" text="" dxfId="9">
      <formula>"Gap"</formula>
    </cfRule>
    <cfRule type="cellIs" priority="4" operator="equal" aboveAverage="0" equalAverage="0" bottom="0" percent="0" rank="0" text="" dxfId="10">
      <formula>"Partial"</formula>
    </cfRule>
  </conditionalFormatting>
  <conditionalFormatting sqref="I2:I24">
    <cfRule type="cellIs" priority="5" operator="equal" aboveAverage="0" equalAverage="0" bottom="0" percent="0" rank="0" text="" dxfId="8">
      <formula>"Covered"</formula>
    </cfRule>
    <cfRule type="cellIs" priority="6" operator="equal" aboveAverage="0" equalAverage="0" bottom="0" percent="0" rank="0" text="" dxfId="9">
      <formula>"NOT 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6" t="s">
        <v>304</v>
      </c>
      <c r="B1" s="6" t="s">
        <v>305</v>
      </c>
      <c r="C1" s="6" t="s">
        <v>306</v>
      </c>
      <c r="D1" s="6" t="s">
        <v>43</v>
      </c>
      <c r="E1" s="6" t="s">
        <v>307</v>
      </c>
      <c r="F1" s="6" t="s">
        <v>215</v>
      </c>
    </row>
    <row r="2" customFormat="false" ht="23.85" hidden="false" customHeight="false" outlineLevel="0" collapsed="false">
      <c r="A2" s="7" t="s">
        <v>56</v>
      </c>
      <c r="B2" s="7" t="s">
        <v>308</v>
      </c>
      <c r="C2" s="7" t="s">
        <v>309</v>
      </c>
      <c r="D2" s="7" t="s">
        <v>310</v>
      </c>
      <c r="E2" s="7" t="s">
        <v>311</v>
      </c>
      <c r="F2" s="7" t="n">
        <f aca="false">SUMPRODUCT(--ISNUMBER(SEARCH(", "&amp;A2&amp;",",", "&amp;RTM!$G$2:$G$30&amp;",")))</f>
        <v>5</v>
      </c>
    </row>
    <row r="3" customFormat="false" ht="15" hidden="false" customHeight="false" outlineLevel="0" collapsed="false">
      <c r="A3" s="8" t="s">
        <v>90</v>
      </c>
      <c r="B3" s="8" t="s">
        <v>312</v>
      </c>
      <c r="C3" s="8" t="s">
        <v>313</v>
      </c>
      <c r="D3" s="8" t="s">
        <v>310</v>
      </c>
      <c r="E3" s="8" t="s">
        <v>314</v>
      </c>
      <c r="F3" s="8" t="n">
        <f aca="false">SUMPRODUCT(--ISNUMBER(SEARCH(", "&amp;A3&amp;",",", "&amp;RTM!$G$2:$G$30&amp;",")))</f>
        <v>4</v>
      </c>
    </row>
    <row r="4" customFormat="false" ht="15" hidden="false" customHeight="false" outlineLevel="0" collapsed="false">
      <c r="A4" s="7" t="s">
        <v>315</v>
      </c>
      <c r="B4" s="7" t="s">
        <v>316</v>
      </c>
      <c r="C4" s="7" t="s">
        <v>317</v>
      </c>
      <c r="D4" s="7" t="s">
        <v>310</v>
      </c>
      <c r="E4" s="7" t="s">
        <v>318</v>
      </c>
      <c r="F4" s="7" t="n">
        <f aca="false">SUMPRODUCT(--ISNUMBER(SEARCH(", "&amp;A4&amp;",",", "&amp;RTM!$G$2:$G$30&amp;",")))</f>
        <v>2</v>
      </c>
    </row>
    <row r="5" customFormat="false" ht="15" hidden="false" customHeight="false" outlineLevel="0" collapsed="false">
      <c r="A5" s="8" t="s">
        <v>98</v>
      </c>
      <c r="B5" s="8" t="s">
        <v>319</v>
      </c>
      <c r="C5" s="8" t="s">
        <v>320</v>
      </c>
      <c r="D5" s="8" t="s">
        <v>310</v>
      </c>
      <c r="E5" s="8" t="s">
        <v>321</v>
      </c>
      <c r="F5" s="8" t="n">
        <f aca="false">SUMPRODUCT(--ISNUMBER(SEARCH(", "&amp;A5&amp;",",", "&amp;RTM!$G$2:$G$30&amp;",")))</f>
        <v>5</v>
      </c>
    </row>
    <row r="6" customFormat="false" ht="15" hidden="false" customHeight="false" outlineLevel="0" collapsed="false">
      <c r="A6" s="7" t="s">
        <v>126</v>
      </c>
      <c r="B6" s="7" t="s">
        <v>322</v>
      </c>
      <c r="C6" s="7" t="s">
        <v>323</v>
      </c>
      <c r="D6" s="7" t="s">
        <v>310</v>
      </c>
      <c r="E6" s="7" t="s">
        <v>324</v>
      </c>
      <c r="F6" s="7" t="n">
        <f aca="false">SUMPRODUCT(--ISNUMBER(SEARCH(", "&amp;A6&amp;",",", "&amp;RTM!$G$2:$G$30&amp;",")))</f>
        <v>3</v>
      </c>
    </row>
    <row r="7" customFormat="false" ht="23.85" hidden="false" customHeight="false" outlineLevel="0" collapsed="false">
      <c r="A7" s="8" t="s">
        <v>83</v>
      </c>
      <c r="B7" s="8" t="s">
        <v>325</v>
      </c>
      <c r="C7" s="8" t="s">
        <v>326</v>
      </c>
      <c r="D7" s="8" t="s">
        <v>327</v>
      </c>
      <c r="E7" s="8" t="s">
        <v>328</v>
      </c>
      <c r="F7" s="8" t="n">
        <f aca="false">SUMPRODUCT(--ISNUMBER(SEARCH(", "&amp;A7&amp;",",", "&amp;RTM!$G$2:$G$30&amp;",")))</f>
        <v>1</v>
      </c>
    </row>
    <row r="8" customFormat="false" ht="15" hidden="false" customHeight="false" outlineLevel="0" collapsed="false">
      <c r="A8" s="7" t="s">
        <v>121</v>
      </c>
      <c r="B8" s="7" t="s">
        <v>329</v>
      </c>
      <c r="C8" s="7" t="s">
        <v>326</v>
      </c>
      <c r="D8" s="7" t="s">
        <v>327</v>
      </c>
      <c r="E8" s="7" t="s">
        <v>330</v>
      </c>
      <c r="F8" s="7" t="n">
        <f aca="false">SUMPRODUCT(--ISNUMBER(SEARCH(", "&amp;A8&amp;",",", "&amp;RTM!$G$2:$G$30&amp;",")))</f>
        <v>1</v>
      </c>
    </row>
    <row r="9" customFormat="false" ht="15" hidden="false" customHeight="false" outlineLevel="0" collapsed="false">
      <c r="A9" s="8" t="s">
        <v>107</v>
      </c>
      <c r="B9" s="8" t="s">
        <v>331</v>
      </c>
      <c r="C9" s="8" t="s">
        <v>326</v>
      </c>
      <c r="D9" s="8" t="s">
        <v>327</v>
      </c>
      <c r="E9" s="8" t="s">
        <v>332</v>
      </c>
      <c r="F9" s="8" t="n">
        <f aca="false">SUMPRODUCT(--ISNUMBER(SEARCH(", "&amp;A9&amp;",",", "&amp;RTM!$G$2:$G$30&amp;",")))</f>
        <v>1</v>
      </c>
    </row>
    <row r="10" customFormat="false" ht="15" hidden="false" customHeight="false" outlineLevel="0" collapsed="false">
      <c r="A10" s="7" t="s">
        <v>73</v>
      </c>
      <c r="B10" s="7" t="s">
        <v>333</v>
      </c>
      <c r="C10" s="7" t="s">
        <v>326</v>
      </c>
      <c r="D10" s="7" t="s">
        <v>327</v>
      </c>
      <c r="E10" s="7" t="s">
        <v>334</v>
      </c>
      <c r="F10" s="7" t="n">
        <f aca="false">SUMPRODUCT(--ISNUMBER(SEARCH(", "&amp;A10&amp;",",", "&amp;RTM!$G$2:$G$30&amp;",")))</f>
        <v>2</v>
      </c>
    </row>
    <row r="11" customFormat="false" ht="15" hidden="false" customHeight="false" outlineLevel="0" collapsed="false">
      <c r="A11" s="8" t="s">
        <v>150</v>
      </c>
      <c r="B11" s="8" t="s">
        <v>335</v>
      </c>
      <c r="C11" s="8" t="s">
        <v>326</v>
      </c>
      <c r="D11" s="8" t="s">
        <v>327</v>
      </c>
      <c r="E11" s="8" t="s">
        <v>336</v>
      </c>
      <c r="F11" s="8" t="n">
        <f aca="false">SUMPRODUCT(--ISNUMBER(SEARCH(", "&amp;A11&amp;",",", "&amp;RTM!$G$2:$G$30&amp;",")))</f>
        <v>6</v>
      </c>
    </row>
    <row r="12" customFormat="false" ht="15" hidden="false" customHeight="false" outlineLevel="0" collapsed="false">
      <c r="A12" s="7" t="s">
        <v>170</v>
      </c>
      <c r="B12" s="7" t="s">
        <v>337</v>
      </c>
      <c r="C12" s="7" t="s">
        <v>326</v>
      </c>
      <c r="D12" s="7" t="s">
        <v>327</v>
      </c>
      <c r="E12" s="7" t="s">
        <v>338</v>
      </c>
      <c r="F12" s="7" t="n">
        <f aca="false">SUMPRODUCT(--ISNUMBER(SEARCH(", "&amp;A12&amp;",",", "&amp;RTM!$G$2:$G$30&amp;",")))</f>
        <v>5</v>
      </c>
    </row>
  </sheetData>
  <autoFilter ref="A1:F12"/>
  <conditionalFormatting sqref="D2:D12">
    <cfRule type="cellIs" priority="2" operator="equal" aboveAverage="0" equalAverage="0" bottom="0" percent="0" rank="0" text="" dxfId="8">
      <formula>"Wireframed"</formula>
    </cfRule>
    <cfRule type="cellIs" priority="3" operator="equal" aboveAverage="0" equalAverage="0" bottom="0" percent="0" rank="0" text="" dxfId="9">
      <formula>"Not wireframed"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52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6" t="s">
        <v>44</v>
      </c>
      <c r="B1" s="6" t="s">
        <v>40</v>
      </c>
      <c r="C1" s="6" t="s">
        <v>39</v>
      </c>
      <c r="D1" s="6" t="s">
        <v>38</v>
      </c>
      <c r="E1" s="6" t="s">
        <v>45</v>
      </c>
      <c r="F1" s="6" t="s">
        <v>46</v>
      </c>
      <c r="G1" s="6" t="s">
        <v>47</v>
      </c>
      <c r="H1" s="6" t="s">
        <v>339</v>
      </c>
      <c r="I1" s="6" t="s">
        <v>340</v>
      </c>
      <c r="J1" s="6" t="s">
        <v>49</v>
      </c>
      <c r="K1" s="6" t="s">
        <v>48</v>
      </c>
      <c r="L1" s="6" t="s">
        <v>341</v>
      </c>
      <c r="M1" s="6" t="s">
        <v>342</v>
      </c>
    </row>
    <row r="2" customFormat="false" ht="23.85" hidden="false" customHeight="false" outlineLevel="0" collapsed="false">
      <c r="A2" s="7" t="s">
        <v>57</v>
      </c>
      <c r="B2" s="7" t="s">
        <v>54</v>
      </c>
      <c r="C2" s="7" t="s">
        <v>53</v>
      </c>
      <c r="D2" s="7" t="s">
        <v>52</v>
      </c>
      <c r="E2" s="7" t="s">
        <v>343</v>
      </c>
      <c r="F2" s="7" t="s">
        <v>344</v>
      </c>
      <c r="G2" s="7" t="s">
        <v>345</v>
      </c>
      <c r="H2" s="7" t="s">
        <v>346</v>
      </c>
      <c r="I2" s="7" t="s">
        <v>56</v>
      </c>
      <c r="J2" s="7" t="s">
        <v>58</v>
      </c>
      <c r="K2" s="17" t="s">
        <v>223</v>
      </c>
      <c r="L2" s="17"/>
      <c r="M2" s="18"/>
    </row>
    <row r="3" customFormat="false" ht="23.85" hidden="false" customHeight="false" outlineLevel="0" collapsed="false">
      <c r="A3" s="8" t="s">
        <v>62</v>
      </c>
      <c r="B3" s="8" t="s">
        <v>60</v>
      </c>
      <c r="C3" s="8" t="s">
        <v>53</v>
      </c>
      <c r="D3" s="8" t="s">
        <v>52</v>
      </c>
      <c r="E3" s="8" t="s">
        <v>347</v>
      </c>
      <c r="F3" s="8" t="s">
        <v>344</v>
      </c>
      <c r="G3" s="8" t="s">
        <v>345</v>
      </c>
      <c r="H3" s="8" t="s">
        <v>348</v>
      </c>
      <c r="I3" s="8" t="s">
        <v>61</v>
      </c>
      <c r="J3" s="8" t="s">
        <v>63</v>
      </c>
      <c r="K3" s="17" t="s">
        <v>223</v>
      </c>
      <c r="L3" s="17"/>
      <c r="M3" s="18"/>
    </row>
    <row r="4" customFormat="false" ht="15" hidden="false" customHeight="false" outlineLevel="0" collapsed="false">
      <c r="A4" s="7" t="s">
        <v>65</v>
      </c>
      <c r="B4" s="7" t="s">
        <v>54</v>
      </c>
      <c r="C4" s="7" t="s">
        <v>53</v>
      </c>
      <c r="D4" s="7" t="s">
        <v>52</v>
      </c>
      <c r="E4" s="7" t="s">
        <v>349</v>
      </c>
      <c r="F4" s="7" t="s">
        <v>350</v>
      </c>
      <c r="G4" s="7" t="s">
        <v>345</v>
      </c>
      <c r="H4" s="7" t="s">
        <v>351</v>
      </c>
      <c r="I4" s="7" t="s">
        <v>56</v>
      </c>
      <c r="J4" s="7" t="s">
        <v>66</v>
      </c>
      <c r="K4" s="17" t="s">
        <v>223</v>
      </c>
      <c r="L4" s="17"/>
      <c r="M4" s="18"/>
    </row>
    <row r="5" customFormat="false" ht="15" hidden="false" customHeight="false" outlineLevel="0" collapsed="false">
      <c r="A5" s="8" t="s">
        <v>68</v>
      </c>
      <c r="B5" s="8" t="s">
        <v>54</v>
      </c>
      <c r="C5" s="8" t="s">
        <v>53</v>
      </c>
      <c r="D5" s="8" t="s">
        <v>52</v>
      </c>
      <c r="E5" s="8" t="s">
        <v>352</v>
      </c>
      <c r="F5" s="8" t="s">
        <v>350</v>
      </c>
      <c r="G5" s="8" t="s">
        <v>353</v>
      </c>
      <c r="H5" s="8" t="s">
        <v>354</v>
      </c>
      <c r="I5" s="8" t="s">
        <v>56</v>
      </c>
      <c r="J5" s="8" t="s">
        <v>69</v>
      </c>
      <c r="K5" s="17" t="s">
        <v>223</v>
      </c>
      <c r="L5" s="17"/>
      <c r="M5" s="18"/>
    </row>
    <row r="6" customFormat="false" ht="15" hidden="false" customHeight="false" outlineLevel="0" collapsed="false">
      <c r="A6" s="7" t="s">
        <v>74</v>
      </c>
      <c r="B6" s="7" t="s">
        <v>71</v>
      </c>
      <c r="C6" s="7" t="s">
        <v>53</v>
      </c>
      <c r="D6" s="7" t="s">
        <v>52</v>
      </c>
      <c r="E6" s="7" t="s">
        <v>355</v>
      </c>
      <c r="F6" s="7" t="s">
        <v>356</v>
      </c>
      <c r="G6" s="7" t="s">
        <v>345</v>
      </c>
      <c r="H6" s="7" t="s">
        <v>357</v>
      </c>
      <c r="I6" s="7" t="s">
        <v>73</v>
      </c>
      <c r="J6" s="7" t="s">
        <v>75</v>
      </c>
      <c r="K6" s="17" t="s">
        <v>223</v>
      </c>
      <c r="L6" s="17"/>
      <c r="M6" s="18"/>
    </row>
    <row r="7" customFormat="false" ht="15" hidden="false" customHeight="false" outlineLevel="0" collapsed="false">
      <c r="A7" s="8" t="s">
        <v>77</v>
      </c>
      <c r="B7" s="8" t="s">
        <v>71</v>
      </c>
      <c r="C7" s="8" t="s">
        <v>53</v>
      </c>
      <c r="D7" s="8" t="s">
        <v>52</v>
      </c>
      <c r="E7" s="8" t="s">
        <v>358</v>
      </c>
      <c r="F7" s="8" t="s">
        <v>356</v>
      </c>
      <c r="G7" s="8" t="s">
        <v>353</v>
      </c>
      <c r="H7" s="8" t="s">
        <v>359</v>
      </c>
      <c r="I7" s="8" t="s">
        <v>73</v>
      </c>
      <c r="J7" s="8" t="s">
        <v>78</v>
      </c>
      <c r="K7" s="17" t="s">
        <v>223</v>
      </c>
      <c r="L7" s="17"/>
      <c r="M7" s="18"/>
    </row>
    <row r="8" customFormat="false" ht="15" hidden="false" customHeight="false" outlineLevel="0" collapsed="false">
      <c r="A8" s="7" t="s">
        <v>84</v>
      </c>
      <c r="B8" s="7" t="s">
        <v>82</v>
      </c>
      <c r="C8" s="7" t="s">
        <v>53</v>
      </c>
      <c r="D8" s="7" t="s">
        <v>81</v>
      </c>
      <c r="E8" s="7" t="s">
        <v>360</v>
      </c>
      <c r="F8" s="7" t="s">
        <v>356</v>
      </c>
      <c r="G8" s="7" t="s">
        <v>345</v>
      </c>
      <c r="H8" s="7" t="s">
        <v>361</v>
      </c>
      <c r="I8" s="7" t="s">
        <v>83</v>
      </c>
      <c r="J8" s="7" t="s">
        <v>85</v>
      </c>
      <c r="K8" s="17" t="s">
        <v>223</v>
      </c>
      <c r="L8" s="17"/>
      <c r="M8" s="18"/>
    </row>
    <row r="9" customFormat="false" ht="23.85" hidden="false" customHeight="false" outlineLevel="0" collapsed="false">
      <c r="A9" s="8" t="s">
        <v>91</v>
      </c>
      <c r="B9" s="8" t="s">
        <v>89</v>
      </c>
      <c r="C9" s="8" t="s">
        <v>53</v>
      </c>
      <c r="D9" s="8" t="s">
        <v>88</v>
      </c>
      <c r="E9" s="8" t="s">
        <v>362</v>
      </c>
      <c r="F9" s="8" t="s">
        <v>344</v>
      </c>
      <c r="G9" s="8" t="s">
        <v>353</v>
      </c>
      <c r="H9" s="8" t="s">
        <v>363</v>
      </c>
      <c r="I9" s="8" t="s">
        <v>90</v>
      </c>
      <c r="J9" s="8" t="s">
        <v>92</v>
      </c>
      <c r="K9" s="17" t="s">
        <v>223</v>
      </c>
      <c r="L9" s="17"/>
      <c r="M9" s="18"/>
    </row>
    <row r="10" customFormat="false" ht="15" hidden="false" customHeight="false" outlineLevel="0" collapsed="false">
      <c r="A10" s="7" t="s">
        <v>99</v>
      </c>
      <c r="B10" s="7" t="s">
        <v>97</v>
      </c>
      <c r="C10" s="7" t="s">
        <v>96</v>
      </c>
      <c r="D10" s="7" t="s">
        <v>95</v>
      </c>
      <c r="E10" s="7" t="s">
        <v>364</v>
      </c>
      <c r="F10" s="7" t="s">
        <v>344</v>
      </c>
      <c r="G10" s="7" t="s">
        <v>345</v>
      </c>
      <c r="H10" s="7" t="s">
        <v>365</v>
      </c>
      <c r="I10" s="7" t="s">
        <v>98</v>
      </c>
      <c r="J10" s="7" t="s">
        <v>100</v>
      </c>
      <c r="K10" s="17" t="s">
        <v>223</v>
      </c>
      <c r="L10" s="17"/>
      <c r="M10" s="18"/>
    </row>
    <row r="11" customFormat="false" ht="15" hidden="false" customHeight="false" outlineLevel="0" collapsed="false">
      <c r="A11" s="8" t="s">
        <v>103</v>
      </c>
      <c r="B11" s="8" t="s">
        <v>102</v>
      </c>
      <c r="C11" s="8" t="s">
        <v>96</v>
      </c>
      <c r="D11" s="8" t="s">
        <v>95</v>
      </c>
      <c r="E11" s="8" t="s">
        <v>366</v>
      </c>
      <c r="F11" s="8" t="s">
        <v>344</v>
      </c>
      <c r="G11" s="8" t="s">
        <v>345</v>
      </c>
      <c r="H11" s="8" t="s">
        <v>367</v>
      </c>
      <c r="I11" s="8" t="s">
        <v>98</v>
      </c>
      <c r="J11" s="8" t="s">
        <v>104</v>
      </c>
      <c r="K11" s="17" t="s">
        <v>223</v>
      </c>
      <c r="L11" s="17"/>
      <c r="M11" s="18"/>
    </row>
    <row r="12" customFormat="false" ht="15" hidden="false" customHeight="false" outlineLevel="0" collapsed="false">
      <c r="A12" s="7" t="s">
        <v>108</v>
      </c>
      <c r="B12" s="7" t="s">
        <v>106</v>
      </c>
      <c r="C12" s="7" t="s">
        <v>96</v>
      </c>
      <c r="D12" s="7" t="s">
        <v>95</v>
      </c>
      <c r="E12" s="7" t="s">
        <v>368</v>
      </c>
      <c r="F12" s="7" t="s">
        <v>369</v>
      </c>
      <c r="G12" s="7" t="s">
        <v>353</v>
      </c>
      <c r="H12" s="7" t="s">
        <v>370</v>
      </c>
      <c r="I12" s="7" t="s">
        <v>107</v>
      </c>
      <c r="J12" s="7" t="s">
        <v>109</v>
      </c>
      <c r="K12" s="17" t="s">
        <v>223</v>
      </c>
      <c r="L12" s="17"/>
      <c r="M12" s="18"/>
    </row>
    <row r="13" customFormat="false" ht="15" hidden="false" customHeight="false" outlineLevel="0" collapsed="false">
      <c r="A13" s="8" t="s">
        <v>114</v>
      </c>
      <c r="B13" s="8" t="s">
        <v>112</v>
      </c>
      <c r="C13" s="8" t="s">
        <v>111</v>
      </c>
      <c r="D13" s="8" t="s">
        <v>95</v>
      </c>
      <c r="E13" s="8" t="s">
        <v>371</v>
      </c>
      <c r="F13" s="8" t="s">
        <v>344</v>
      </c>
      <c r="G13" s="8" t="s">
        <v>345</v>
      </c>
      <c r="H13" s="8" t="s">
        <v>372</v>
      </c>
      <c r="I13" s="8" t="s">
        <v>113</v>
      </c>
      <c r="J13" s="8" t="s">
        <v>115</v>
      </c>
      <c r="K13" s="17" t="s">
        <v>223</v>
      </c>
      <c r="L13" s="17"/>
      <c r="M13" s="18"/>
    </row>
    <row r="14" customFormat="false" ht="23.85" hidden="false" customHeight="false" outlineLevel="0" collapsed="false">
      <c r="A14" s="7" t="s">
        <v>117</v>
      </c>
      <c r="B14" s="7" t="s">
        <v>112</v>
      </c>
      <c r="C14" s="7" t="s">
        <v>111</v>
      </c>
      <c r="D14" s="7" t="s">
        <v>95</v>
      </c>
      <c r="E14" s="7" t="s">
        <v>373</v>
      </c>
      <c r="F14" s="7" t="s">
        <v>350</v>
      </c>
      <c r="G14" s="7" t="s">
        <v>345</v>
      </c>
      <c r="H14" s="7" t="s">
        <v>374</v>
      </c>
      <c r="I14" s="7" t="s">
        <v>113</v>
      </c>
      <c r="J14" s="7" t="s">
        <v>118</v>
      </c>
      <c r="K14" s="17" t="s">
        <v>223</v>
      </c>
      <c r="L14" s="17"/>
      <c r="M14" s="18"/>
    </row>
    <row r="15" customFormat="false" ht="15" hidden="false" customHeight="false" outlineLevel="0" collapsed="false">
      <c r="A15" s="8" t="s">
        <v>122</v>
      </c>
      <c r="B15" s="8" t="s">
        <v>120</v>
      </c>
      <c r="C15" s="8" t="s">
        <v>111</v>
      </c>
      <c r="D15" s="8" t="s">
        <v>88</v>
      </c>
      <c r="E15" s="8" t="s">
        <v>375</v>
      </c>
      <c r="F15" s="8" t="s">
        <v>356</v>
      </c>
      <c r="G15" s="8" t="s">
        <v>345</v>
      </c>
      <c r="H15" s="8" t="s">
        <v>376</v>
      </c>
      <c r="I15" s="8" t="s">
        <v>121</v>
      </c>
      <c r="J15" s="8" t="s">
        <v>123</v>
      </c>
      <c r="K15" s="17" t="s">
        <v>223</v>
      </c>
      <c r="L15" s="17"/>
      <c r="M15" s="18"/>
    </row>
    <row r="16" customFormat="false" ht="15" hidden="false" customHeight="false" outlineLevel="0" collapsed="false">
      <c r="A16" s="7" t="s">
        <v>127</v>
      </c>
      <c r="B16" s="7" t="s">
        <v>125</v>
      </c>
      <c r="C16" s="7" t="s">
        <v>111</v>
      </c>
      <c r="D16" s="7" t="s">
        <v>95</v>
      </c>
      <c r="E16" s="7" t="s">
        <v>377</v>
      </c>
      <c r="F16" s="7" t="s">
        <v>369</v>
      </c>
      <c r="G16" s="7" t="s">
        <v>353</v>
      </c>
      <c r="H16" s="7" t="s">
        <v>378</v>
      </c>
      <c r="I16" s="7" t="s">
        <v>126</v>
      </c>
      <c r="J16" s="7" t="s">
        <v>128</v>
      </c>
      <c r="K16" s="17" t="s">
        <v>223</v>
      </c>
      <c r="L16" s="17"/>
      <c r="M16" s="18"/>
    </row>
    <row r="17" customFormat="false" ht="15" hidden="false" customHeight="false" outlineLevel="0" collapsed="false">
      <c r="A17" s="8" t="s">
        <v>132</v>
      </c>
      <c r="B17" s="8" t="s">
        <v>130</v>
      </c>
      <c r="C17" s="8" t="s">
        <v>111</v>
      </c>
      <c r="D17" s="8" t="s">
        <v>95</v>
      </c>
      <c r="E17" s="8" t="s">
        <v>379</v>
      </c>
      <c r="F17" s="8" t="s">
        <v>344</v>
      </c>
      <c r="G17" s="8" t="s">
        <v>345</v>
      </c>
      <c r="H17" s="8" t="s">
        <v>380</v>
      </c>
      <c r="I17" s="8" t="s">
        <v>131</v>
      </c>
      <c r="J17" s="8" t="s">
        <v>133</v>
      </c>
      <c r="K17" s="17" t="s">
        <v>223</v>
      </c>
      <c r="L17" s="17"/>
      <c r="M17" s="18"/>
    </row>
    <row r="18" customFormat="false" ht="15" hidden="false" customHeight="false" outlineLevel="0" collapsed="false">
      <c r="A18" s="7" t="s">
        <v>135</v>
      </c>
      <c r="B18" s="7" t="s">
        <v>130</v>
      </c>
      <c r="C18" s="7" t="s">
        <v>111</v>
      </c>
      <c r="D18" s="7" t="s">
        <v>95</v>
      </c>
      <c r="E18" s="7" t="s">
        <v>381</v>
      </c>
      <c r="F18" s="7" t="s">
        <v>356</v>
      </c>
      <c r="G18" s="7" t="s">
        <v>353</v>
      </c>
      <c r="H18" s="7" t="s">
        <v>382</v>
      </c>
      <c r="I18" s="7" t="s">
        <v>131</v>
      </c>
      <c r="J18" s="7" t="s">
        <v>136</v>
      </c>
      <c r="K18" s="17" t="s">
        <v>223</v>
      </c>
      <c r="L18" s="17"/>
      <c r="M18" s="18"/>
    </row>
    <row r="19" customFormat="false" ht="15" hidden="false" customHeight="false" outlineLevel="0" collapsed="false">
      <c r="A19" s="8" t="s">
        <v>139</v>
      </c>
      <c r="B19" s="8" t="s">
        <v>138</v>
      </c>
      <c r="C19" s="8" t="s">
        <v>111</v>
      </c>
      <c r="D19" s="8" t="s">
        <v>95</v>
      </c>
      <c r="E19" s="8" t="s">
        <v>383</v>
      </c>
      <c r="F19" s="8" t="s">
        <v>356</v>
      </c>
      <c r="G19" s="8" t="s">
        <v>353</v>
      </c>
      <c r="H19" s="8" t="s">
        <v>384</v>
      </c>
      <c r="I19" s="8" t="s">
        <v>98</v>
      </c>
      <c r="J19" s="8" t="s">
        <v>140</v>
      </c>
      <c r="K19" s="17" t="s">
        <v>223</v>
      </c>
      <c r="L19" s="17"/>
      <c r="M19" s="18"/>
    </row>
    <row r="20" customFormat="false" ht="15" hidden="false" customHeight="false" outlineLevel="0" collapsed="false">
      <c r="A20" s="7" t="s">
        <v>146</v>
      </c>
      <c r="B20" s="7" t="s">
        <v>144</v>
      </c>
      <c r="C20" s="7" t="s">
        <v>143</v>
      </c>
      <c r="D20" s="7" t="s">
        <v>142</v>
      </c>
      <c r="E20" s="7" t="s">
        <v>385</v>
      </c>
      <c r="F20" s="7" t="s">
        <v>344</v>
      </c>
      <c r="G20" s="7" t="s">
        <v>353</v>
      </c>
      <c r="H20" s="7" t="s">
        <v>386</v>
      </c>
      <c r="I20" s="7" t="s">
        <v>145</v>
      </c>
      <c r="J20" s="7" t="s">
        <v>147</v>
      </c>
      <c r="K20" s="17" t="s">
        <v>223</v>
      </c>
      <c r="L20" s="17"/>
      <c r="M20" s="18"/>
    </row>
    <row r="21" customFormat="false" ht="15" hidden="false" customHeight="false" outlineLevel="0" collapsed="false">
      <c r="A21" s="8" t="s">
        <v>151</v>
      </c>
      <c r="B21" s="8" t="s">
        <v>149</v>
      </c>
      <c r="C21" s="8" t="s">
        <v>143</v>
      </c>
      <c r="D21" s="8" t="s">
        <v>142</v>
      </c>
      <c r="E21" s="8" t="s">
        <v>387</v>
      </c>
      <c r="F21" s="8" t="s">
        <v>344</v>
      </c>
      <c r="G21" s="8" t="s">
        <v>353</v>
      </c>
      <c r="H21" s="8" t="s">
        <v>388</v>
      </c>
      <c r="I21" s="8" t="s">
        <v>150</v>
      </c>
      <c r="J21" s="8" t="s">
        <v>152</v>
      </c>
      <c r="K21" s="17" t="s">
        <v>223</v>
      </c>
      <c r="L21" s="17"/>
      <c r="M21" s="18"/>
    </row>
    <row r="22" customFormat="false" ht="15" hidden="false" customHeight="false" outlineLevel="0" collapsed="false">
      <c r="A22" s="7" t="s">
        <v>155</v>
      </c>
      <c r="B22" s="7" t="s">
        <v>154</v>
      </c>
      <c r="C22" s="7" t="s">
        <v>143</v>
      </c>
      <c r="D22" s="7" t="s">
        <v>142</v>
      </c>
      <c r="E22" s="7" t="s">
        <v>389</v>
      </c>
      <c r="F22" s="7" t="s">
        <v>369</v>
      </c>
      <c r="G22" s="7" t="s">
        <v>353</v>
      </c>
      <c r="H22" s="7" t="s">
        <v>390</v>
      </c>
      <c r="I22" s="7" t="s">
        <v>150</v>
      </c>
      <c r="J22" s="7" t="s">
        <v>156</v>
      </c>
      <c r="K22" s="17" t="s">
        <v>223</v>
      </c>
      <c r="L22" s="17"/>
      <c r="M22" s="18"/>
    </row>
    <row r="23" customFormat="false" ht="23.85" hidden="false" customHeight="false" outlineLevel="0" collapsed="false">
      <c r="A23" s="8" t="s">
        <v>159</v>
      </c>
      <c r="B23" s="8" t="s">
        <v>158</v>
      </c>
      <c r="C23" s="8" t="s">
        <v>143</v>
      </c>
      <c r="D23" s="8" t="s">
        <v>142</v>
      </c>
      <c r="E23" s="8" t="s">
        <v>391</v>
      </c>
      <c r="F23" s="8" t="s">
        <v>350</v>
      </c>
      <c r="G23" s="8" t="s">
        <v>392</v>
      </c>
      <c r="H23" s="8" t="s">
        <v>393</v>
      </c>
      <c r="I23" s="8" t="s">
        <v>150</v>
      </c>
      <c r="J23" s="8" t="s">
        <v>160</v>
      </c>
      <c r="K23" s="17" t="s">
        <v>223</v>
      </c>
      <c r="L23" s="17"/>
      <c r="M23" s="18"/>
    </row>
    <row r="24" customFormat="false" ht="15" hidden="false" customHeight="false" outlineLevel="0" collapsed="false">
      <c r="A24" s="7" t="s">
        <v>163</v>
      </c>
      <c r="B24" s="7" t="s">
        <v>162</v>
      </c>
      <c r="C24" s="7" t="s">
        <v>143</v>
      </c>
      <c r="D24" s="7" t="s">
        <v>142</v>
      </c>
      <c r="E24" s="7" t="s">
        <v>394</v>
      </c>
      <c r="F24" s="7" t="s">
        <v>369</v>
      </c>
      <c r="G24" s="7" t="s">
        <v>392</v>
      </c>
      <c r="H24" s="7" t="s">
        <v>395</v>
      </c>
      <c r="I24" s="7" t="s">
        <v>150</v>
      </c>
      <c r="J24" s="7" t="s">
        <v>164</v>
      </c>
      <c r="K24" s="17" t="s">
        <v>223</v>
      </c>
      <c r="L24" s="17"/>
      <c r="M24" s="18"/>
    </row>
    <row r="25" customFormat="false" ht="23.85" hidden="false" customHeight="false" outlineLevel="0" collapsed="false">
      <c r="A25" s="8" t="s">
        <v>171</v>
      </c>
      <c r="B25" s="8" t="s">
        <v>169</v>
      </c>
      <c r="C25" s="8" t="s">
        <v>168</v>
      </c>
      <c r="D25" s="8" t="s">
        <v>167</v>
      </c>
      <c r="E25" s="8" t="s">
        <v>396</v>
      </c>
      <c r="F25" s="8" t="s">
        <v>344</v>
      </c>
      <c r="G25" s="8" t="s">
        <v>345</v>
      </c>
      <c r="H25" s="8" t="s">
        <v>397</v>
      </c>
      <c r="I25" s="8" t="s">
        <v>170</v>
      </c>
      <c r="J25" s="8" t="s">
        <v>172</v>
      </c>
      <c r="K25" s="17" t="s">
        <v>223</v>
      </c>
      <c r="L25" s="17"/>
      <c r="M25" s="18"/>
    </row>
    <row r="26" customFormat="false" ht="15" hidden="false" customHeight="false" outlineLevel="0" collapsed="false">
      <c r="A26" s="7" t="s">
        <v>175</v>
      </c>
      <c r="B26" s="7" t="s">
        <v>174</v>
      </c>
      <c r="C26" s="7" t="s">
        <v>168</v>
      </c>
      <c r="D26" s="7" t="s">
        <v>167</v>
      </c>
      <c r="E26" s="7" t="s">
        <v>398</v>
      </c>
      <c r="F26" s="7" t="s">
        <v>344</v>
      </c>
      <c r="G26" s="7" t="s">
        <v>345</v>
      </c>
      <c r="H26" s="7" t="s">
        <v>399</v>
      </c>
      <c r="I26" s="7" t="s">
        <v>170</v>
      </c>
      <c r="J26" s="7" t="s">
        <v>176</v>
      </c>
      <c r="K26" s="17" t="s">
        <v>223</v>
      </c>
      <c r="L26" s="17"/>
      <c r="M26" s="18"/>
    </row>
    <row r="27" customFormat="false" ht="15" hidden="false" customHeight="false" outlineLevel="0" collapsed="false">
      <c r="A27" s="8" t="s">
        <v>179</v>
      </c>
      <c r="B27" s="8" t="s">
        <v>178</v>
      </c>
      <c r="C27" s="8" t="s">
        <v>168</v>
      </c>
      <c r="D27" s="8" t="s">
        <v>167</v>
      </c>
      <c r="E27" s="8" t="s">
        <v>400</v>
      </c>
      <c r="F27" s="8" t="s">
        <v>369</v>
      </c>
      <c r="G27" s="8" t="s">
        <v>345</v>
      </c>
      <c r="H27" s="8" t="s">
        <v>401</v>
      </c>
      <c r="I27" s="8" t="s">
        <v>170</v>
      </c>
      <c r="J27" s="8" t="s">
        <v>180</v>
      </c>
      <c r="K27" s="17" t="s">
        <v>223</v>
      </c>
      <c r="L27" s="17"/>
      <c r="M27" s="18"/>
    </row>
    <row r="28" customFormat="false" ht="15" hidden="false" customHeight="false" outlineLevel="0" collapsed="false">
      <c r="A28" s="7" t="s">
        <v>182</v>
      </c>
      <c r="B28" s="7" t="s">
        <v>178</v>
      </c>
      <c r="C28" s="7" t="s">
        <v>168</v>
      </c>
      <c r="D28" s="7" t="s">
        <v>167</v>
      </c>
      <c r="E28" s="7" t="s">
        <v>402</v>
      </c>
      <c r="F28" s="7" t="s">
        <v>369</v>
      </c>
      <c r="G28" s="7" t="s">
        <v>345</v>
      </c>
      <c r="H28" s="7" t="s">
        <v>403</v>
      </c>
      <c r="I28" s="7" t="s">
        <v>170</v>
      </c>
      <c r="J28" s="7" t="s">
        <v>183</v>
      </c>
      <c r="K28" s="17" t="s">
        <v>223</v>
      </c>
      <c r="L28" s="17"/>
      <c r="M28" s="18"/>
    </row>
    <row r="29" customFormat="false" ht="15" hidden="false" customHeight="false" outlineLevel="0" collapsed="false">
      <c r="A29" s="8" t="s">
        <v>187</v>
      </c>
      <c r="B29" s="8" t="s">
        <v>185</v>
      </c>
      <c r="C29" s="8" t="s">
        <v>168</v>
      </c>
      <c r="D29" s="8" t="s">
        <v>167</v>
      </c>
      <c r="E29" s="8" t="s">
        <v>404</v>
      </c>
      <c r="F29" s="8" t="s">
        <v>356</v>
      </c>
      <c r="G29" s="8" t="s">
        <v>345</v>
      </c>
      <c r="H29" s="8" t="s">
        <v>405</v>
      </c>
      <c r="I29" s="8" t="s">
        <v>186</v>
      </c>
      <c r="J29" s="8" t="s">
        <v>188</v>
      </c>
      <c r="K29" s="17" t="s">
        <v>223</v>
      </c>
      <c r="L29" s="17"/>
      <c r="M29" s="18"/>
    </row>
    <row r="30" customFormat="false" ht="15" hidden="false" customHeight="false" outlineLevel="0" collapsed="false">
      <c r="A30" s="7" t="s">
        <v>195</v>
      </c>
      <c r="B30" s="7" t="s">
        <v>193</v>
      </c>
      <c r="C30" s="7" t="s">
        <v>192</v>
      </c>
      <c r="D30" s="7" t="s">
        <v>191</v>
      </c>
      <c r="E30" s="7" t="s">
        <v>406</v>
      </c>
      <c r="F30" s="7" t="s">
        <v>344</v>
      </c>
      <c r="G30" s="7" t="s">
        <v>353</v>
      </c>
      <c r="H30" s="7" t="s">
        <v>407</v>
      </c>
      <c r="I30" s="7" t="s">
        <v>194</v>
      </c>
      <c r="J30" s="7" t="s">
        <v>196</v>
      </c>
      <c r="K30" s="17" t="s">
        <v>223</v>
      </c>
      <c r="L30" s="17"/>
      <c r="M30" s="18"/>
    </row>
  </sheetData>
  <autoFilter ref="A1:M30"/>
  <conditionalFormatting sqref="K2:K30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  <cfRule type="cellIs" priority="4" operator="equal" aboveAverage="0" equalAverage="0" bottom="0" percent="0" rank="0" text="" dxfId="10">
      <formula>"Blocked"</formula>
    </cfRule>
  </conditionalFormatting>
  <dataValidations count="1">
    <dataValidation allowBlank="false" errorStyle="stop" operator="between" showDropDown="false" showErrorMessage="false" showInputMessage="false" sqref="K2:K30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40"/>
    <col collapsed="false" customWidth="true" hidden="false" outlineLevel="0" max="5" min="5" style="0" width="42"/>
  </cols>
  <sheetData>
    <row r="1" customFormat="false" ht="31.5" hidden="false" customHeight="true" outlineLevel="0" collapsed="false">
      <c r="A1" s="6" t="s">
        <v>408</v>
      </c>
      <c r="B1" s="6" t="s">
        <v>46</v>
      </c>
      <c r="C1" s="6" t="s">
        <v>409</v>
      </c>
      <c r="D1" s="6" t="s">
        <v>410</v>
      </c>
      <c r="E1" s="6" t="s">
        <v>411</v>
      </c>
    </row>
    <row r="2" customFormat="false" ht="23.85" hidden="false" customHeight="false" outlineLevel="0" collapsed="false">
      <c r="A2" s="7" t="s">
        <v>412</v>
      </c>
      <c r="B2" s="7" t="s">
        <v>413</v>
      </c>
      <c r="C2" s="7" t="s">
        <v>414</v>
      </c>
      <c r="D2" s="7" t="s">
        <v>415</v>
      </c>
      <c r="E2" s="7" t="s">
        <v>416</v>
      </c>
    </row>
    <row r="3" customFormat="false" ht="23.85" hidden="false" customHeight="false" outlineLevel="0" collapsed="false">
      <c r="A3" s="8" t="s">
        <v>417</v>
      </c>
      <c r="B3" s="8" t="s">
        <v>413</v>
      </c>
      <c r="C3" s="8" t="s">
        <v>418</v>
      </c>
      <c r="D3" s="8" t="s">
        <v>419</v>
      </c>
      <c r="E3" s="8" t="s">
        <v>420</v>
      </c>
    </row>
    <row r="4" customFormat="false" ht="15" hidden="false" customHeight="false" outlineLevel="0" collapsed="false">
      <c r="A4" s="7" t="s">
        <v>421</v>
      </c>
      <c r="B4" s="7" t="s">
        <v>413</v>
      </c>
      <c r="C4" s="7" t="s">
        <v>422</v>
      </c>
      <c r="D4" s="7" t="s">
        <v>423</v>
      </c>
      <c r="E4" s="7" t="s">
        <v>424</v>
      </c>
    </row>
    <row r="5" customFormat="false" ht="23.85" hidden="false" customHeight="false" outlineLevel="0" collapsed="false">
      <c r="A5" s="8" t="s">
        <v>425</v>
      </c>
      <c r="B5" s="8" t="s">
        <v>413</v>
      </c>
      <c r="C5" s="8" t="s">
        <v>426</v>
      </c>
      <c r="D5" s="8" t="s">
        <v>427</v>
      </c>
      <c r="E5" s="8" t="s">
        <v>428</v>
      </c>
    </row>
    <row r="6" customFormat="false" ht="15" hidden="false" customHeight="false" outlineLevel="0" collapsed="false">
      <c r="A6" s="7" t="s">
        <v>429</v>
      </c>
      <c r="B6" s="7" t="s">
        <v>413</v>
      </c>
      <c r="C6" s="7" t="s">
        <v>430</v>
      </c>
      <c r="D6" s="7" t="s">
        <v>431</v>
      </c>
      <c r="E6" s="7" t="s">
        <v>432</v>
      </c>
    </row>
    <row r="7" customFormat="false" ht="15" hidden="false" customHeight="false" outlineLevel="0" collapsed="false">
      <c r="A7" s="8" t="s">
        <v>433</v>
      </c>
      <c r="B7" s="8" t="s">
        <v>413</v>
      </c>
      <c r="C7" s="8" t="s">
        <v>434</v>
      </c>
      <c r="D7" s="8" t="s">
        <v>435</v>
      </c>
      <c r="E7" s="8" t="s">
        <v>436</v>
      </c>
    </row>
    <row r="8" customFormat="false" ht="15" hidden="false" customHeight="false" outlineLevel="0" collapsed="false">
      <c r="A8" s="7" t="s">
        <v>437</v>
      </c>
      <c r="B8" s="7" t="s">
        <v>438</v>
      </c>
      <c r="C8" s="7" t="s">
        <v>439</v>
      </c>
      <c r="D8" s="7" t="s">
        <v>440</v>
      </c>
      <c r="E8" s="7" t="s">
        <v>441</v>
      </c>
    </row>
    <row r="9" customFormat="false" ht="23.85" hidden="false" customHeight="false" outlineLevel="0" collapsed="false">
      <c r="A9" s="8" t="s">
        <v>442</v>
      </c>
      <c r="B9" s="8" t="s">
        <v>443</v>
      </c>
      <c r="C9" s="8" t="s">
        <v>444</v>
      </c>
      <c r="D9" s="8" t="s">
        <v>445</v>
      </c>
      <c r="E9" s="8" t="s">
        <v>446</v>
      </c>
    </row>
    <row r="10" customFormat="false" ht="15" hidden="false" customHeight="false" outlineLevel="0" collapsed="false">
      <c r="A10" s="7" t="s">
        <v>447</v>
      </c>
      <c r="B10" s="7" t="s">
        <v>443</v>
      </c>
      <c r="C10" s="7" t="s">
        <v>448</v>
      </c>
      <c r="D10" s="7" t="s">
        <v>449</v>
      </c>
      <c r="E10" s="7" t="s">
        <v>450</v>
      </c>
    </row>
    <row r="11" customFormat="false" ht="15" hidden="false" customHeight="false" outlineLevel="0" collapsed="false">
      <c r="A11" s="8" t="s">
        <v>451</v>
      </c>
      <c r="B11" s="8" t="s">
        <v>443</v>
      </c>
      <c r="C11" s="8" t="s">
        <v>452</v>
      </c>
      <c r="D11" s="8" t="s">
        <v>453</v>
      </c>
      <c r="E11" s="8" t="s">
        <v>454</v>
      </c>
    </row>
    <row r="12" customFormat="false" ht="23.85" hidden="false" customHeight="false" outlineLevel="0" collapsed="false">
      <c r="A12" s="7" t="s">
        <v>455</v>
      </c>
      <c r="B12" s="7" t="s">
        <v>443</v>
      </c>
      <c r="C12" s="7" t="s">
        <v>456</v>
      </c>
      <c r="D12" s="7" t="s">
        <v>457</v>
      </c>
      <c r="E12" s="7" t="s">
        <v>458</v>
      </c>
    </row>
    <row r="13" customFormat="false" ht="23.85" hidden="false" customHeight="false" outlineLevel="0" collapsed="false">
      <c r="A13" s="8" t="s">
        <v>459</v>
      </c>
      <c r="B13" s="8" t="s">
        <v>443</v>
      </c>
      <c r="C13" s="8" t="s">
        <v>460</v>
      </c>
      <c r="D13" s="8" t="s">
        <v>461</v>
      </c>
      <c r="E13" s="8" t="s">
        <v>462</v>
      </c>
    </row>
    <row r="14" customFormat="false" ht="15" hidden="false" customHeight="false" outlineLevel="0" collapsed="false">
      <c r="A14" s="7" t="s">
        <v>463</v>
      </c>
      <c r="B14" s="7" t="s">
        <v>443</v>
      </c>
      <c r="C14" s="7" t="s">
        <v>464</v>
      </c>
      <c r="D14" s="7" t="s">
        <v>465</v>
      </c>
      <c r="E14" s="7" t="s">
        <v>466</v>
      </c>
    </row>
    <row r="15" customFormat="false" ht="15" hidden="false" customHeight="false" outlineLevel="0" collapsed="false">
      <c r="A15" s="8" t="s">
        <v>467</v>
      </c>
      <c r="B15" s="8" t="s">
        <v>443</v>
      </c>
      <c r="C15" s="8" t="s">
        <v>468</v>
      </c>
      <c r="D15" s="8" t="s">
        <v>469</v>
      </c>
      <c r="E15" s="8" t="s">
        <v>470</v>
      </c>
    </row>
  </sheetData>
  <autoFilter ref="A1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2026-10-06T06:04:23Z</dcterms:created>
  <dc:creator>openpyxl</dc:creator>
  <dc:description/>
  <dc:language>en-US</dc:language>
  <cp:lastModifiedBy/>
  <dcterms:modified xsi:type="dcterms:W3CDTF">2026-10-06T06:04:23Z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